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Assumptions" sheetId="2" state="visible" r:id="rId4"/>
    <sheet name="Daily" sheetId="3" state="visible" r:id="rId5"/>
    <sheet name="Weekly" sheetId="4" state="visible" r:id="rId6"/>
    <sheet name="Decomposition" sheetId="5" state="visible" r:id="rId7"/>
    <sheet name="Scenario" sheetId="6" state="visible" r:id="rId8"/>
    <sheet name="Monthly P&amp;L (est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<sst xmlns="http://schemas.openxmlformats.org/spreadsheetml/2006/main" count="113" uniqueCount="105">
  <si>
    <t xml:space="preserve">Restaurant Sales Trend &amp; Financial Model - SAMPLE DATA (synthetic)</t>
  </si>
  <si>
    <t xml:space="preserve">Purpose</t>
  </si>
  <si>
    <t xml:space="preserve">Quantify a late-summer sales decline (May 1 - Oct 7, 2026) and estimate profit under editable cost assumptions.</t>
  </si>
  <si>
    <t xml:space="preserve">Data source</t>
  </si>
  <si>
    <t xml:space="preserve">SYNTHETIC sample data in the same format as a POS 'Sales by day' export. No real business data is included in this repository.</t>
  </si>
  <si>
    <t xml:space="preserve">Blue text</t>
  </si>
  <si>
    <t xml:space="preserve">Hardcoded input or raw POS data.</t>
  </si>
  <si>
    <t xml:space="preserve">Black text</t>
  </si>
  <si>
    <t xml:space="preserve">Formula - do not overwrite.</t>
  </si>
  <si>
    <t xml:space="preserve">Yellow fill</t>
  </si>
  <si>
    <t xml:space="preserve">Key assumption you should edit. COST INPUTS ARE PLACEHOLDERS until the owners supply real figures.</t>
  </si>
  <si>
    <t xml:space="preserve">Tabs</t>
  </si>
  <si>
    <t xml:space="preserve">Assumptions &gt; Daily (raw) &gt; Weekly &gt; Decomposition (orders vs. avg check, day of week) &gt; Scenario &gt; Monthly P&amp;L (estimate).</t>
  </si>
  <si>
    <t xml:space="preserve">Important</t>
  </si>
  <si>
    <t xml:space="preserve">Revenue-based findings (Weekly, Decomposition) use real POS data only. Anything involving cost (Scenario profit, Monthly P&amp;L) depends on placeholder inputs.</t>
  </si>
  <si>
    <t xml:space="preserve">Assumptions</t>
  </si>
  <si>
    <t xml:space="preserve">Comparison periods (week-start dates, Mondays)</t>
  </si>
  <si>
    <t xml:space="preserve">Base period - first week start</t>
  </si>
  <si>
    <t xml:space="preserve">First full Mon-Sun week of data</t>
  </si>
  <si>
    <t xml:space="preserve">Base period - last week start</t>
  </si>
  <si>
    <t xml:space="preserve">Week of Aug 24-30; late summer peak weeks included</t>
  </si>
  <si>
    <t xml:space="preserve">Recent period - first week start</t>
  </si>
  <si>
    <t xml:space="preserve">Aug 31-Sep 6 (Labor Day week) left out of both periods</t>
  </si>
  <si>
    <t xml:space="preserve">Recent period - last week start</t>
  </si>
  <si>
    <t xml:space="preserve">Last full week of data (Sep 28 - Oct 4)</t>
  </si>
  <si>
    <t xml:space="preserve">Base period - last day</t>
  </si>
  <si>
    <t xml:space="preserve">Formula</t>
  </si>
  <si>
    <t xml:space="preserve">Recent period - last day</t>
  </si>
  <si>
    <t xml:space="preserve">Cost assumptions (PLACEHOLDERS - replace with owner figures)</t>
  </si>
  <si>
    <t xml:space="preserve">Food &amp; beverage cost (% of net sales)</t>
  </si>
  <si>
    <t xml:space="preserve">PLACEHOLDER. Typical full-service range is roughly 28-35%; owners' actual figure needed.</t>
  </si>
  <si>
    <t xml:space="preserve">Labor cost (% of net sales)</t>
  </si>
  <si>
    <t xml:space="preserve">PLACEHOLDER. Owners' payroll figures needed.</t>
  </si>
  <si>
    <t xml:space="preserve">Other operating costs (% of net sales)</t>
  </si>
  <si>
    <t xml:space="preserve">PLACEHOLDER. Supplies, utilities, processing fees, etc.</t>
  </si>
  <si>
    <t xml:space="preserve">Rent &amp; fixed costs per month ($)</t>
  </si>
  <si>
    <t xml:space="preserve">PLACEHOLDER. Owners' actual figure needed.</t>
  </si>
  <si>
    <t xml:space="preserve">Scenario lever</t>
  </si>
  <si>
    <t xml:space="preserve">Share of lost weeknight sales recovered</t>
  </si>
  <si>
    <t xml:space="preserve">Illustrative lever for the Scenario tab (not a forecast).</t>
  </si>
  <si>
    <t xml:space="preserve">Date</t>
  </si>
  <si>
    <t xml:space="preserve">Day of week</t>
  </si>
  <si>
    <t xml:space="preserve">Week start (Mon)</t>
  </si>
  <si>
    <t xml:space="preserve">Net sales ($)</t>
  </si>
  <si>
    <t xml:space="preserve">Orders</t>
  </si>
  <si>
    <t xml:space="preserve">Guests</t>
  </si>
  <si>
    <t xml:space="preserve">Avg check ($)</t>
  </si>
  <si>
    <t xml:space="preserve">Spend / guest ($)</t>
  </si>
  <si>
    <t xml:space="preserve">4-week avg net sales ($)</t>
  </si>
  <si>
    <t xml:space="preserve">Why did sales fall?  Net sales = Orders x Average check</t>
  </si>
  <si>
    <t xml:space="preserve">Weekly average</t>
  </si>
  <si>
    <t xml:space="preserve">Base period</t>
  </si>
  <si>
    <t xml:space="preserve">Recent period</t>
  </si>
  <si>
    <t xml:space="preserve">Change</t>
  </si>
  <si>
    <t xml:space="preserve">% change</t>
  </si>
  <si>
    <t xml:space="preserve">Net sales ($ / week)</t>
  </si>
  <si>
    <t xml:space="preserve">Orders / week</t>
  </si>
  <si>
    <t xml:space="preserve">Guests / week</t>
  </si>
  <si>
    <t xml:space="preserve">Average check ($) = net sales / orders</t>
  </si>
  <si>
    <t xml:space="preserve">Where did the drop come from? (sums exactly to the total change)</t>
  </si>
  <si>
    <t xml:space="preserve">Traffic effect = (recent orders - base orders) x base avg check</t>
  </si>
  <si>
    <t xml:space="preserve">Average-check effect = recent orders x (recent avg check - base avg check)</t>
  </si>
  <si>
    <t xml:space="preserve">Total change in weekly net sales</t>
  </si>
  <si>
    <t xml:space="preserve">Check: equals change in net sales row above</t>
  </si>
  <si>
    <t xml:space="preserve">Traffic effect as % of total change</t>
  </si>
  <si>
    <t xml:space="preserve">Average net sales by day of week</t>
  </si>
  <si>
    <t xml:space="preserve">Day</t>
  </si>
  <si>
    <t xml:space="preserve">Base ($/day)</t>
  </si>
  <si>
    <t xml:space="preserve">Recent ($/day)</t>
  </si>
  <si>
    <t xml:space="preserve">Change ($/day)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</si>
  <si>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</si>
  <si>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</si>
  <si>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</si>
  <si>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</si>
  <si>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</si>
  <si>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</si>
  <si>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</si>
  <si>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Total per week</t>
  </si>
  <si>
    <t xml:space="preserve">Illustrative scenario: win back some weeknight sales</t>
  </si>
  <si>
    <t xml:space="preserve">Weekly sales gap on days that fell (Mon-Thu + Sun), $ / week</t>
  </si>
  <si>
    <t xml:space="preserve">Share of that gap recovered (from Assumptions)</t>
  </si>
  <si>
    <t xml:space="preserve">Added net sales per week</t>
  </si>
  <si>
    <t xml:space="preserve">Added gross profit per week (net of placeholder food cost)</t>
  </si>
  <si>
    <t xml:space="preserve">Depends on PLACEHOLDER food cost %.</t>
  </si>
  <si>
    <t xml:space="preserve">Added gross profit per 13 weeks (one quarter)</t>
  </si>
  <si>
    <t xml:space="preserve">Quarter, not annualized: seasonality is unknown without prior-year data.</t>
  </si>
  <si>
    <t xml:space="preserve">Estimated monthly operating profit  -  USES PLACEHOLDER COST INPUTS</t>
  </si>
  <si>
    <t xml:space="preserve">Month</t>
  </si>
  <si>
    <t xml:space="preserve">Start</t>
  </si>
  <si>
    <t xml:space="preserve">End</t>
  </si>
  <si>
    <t xml:space="preserve">Days</t>
  </si>
  <si>
    <t xml:space="preserve">Net sales / day ($)</t>
  </si>
  <si>
    <t xml:space="preserve">Food cost ($)</t>
  </si>
  <si>
    <t xml:space="preserve">Labor ($)</t>
  </si>
  <si>
    <t xml:space="preserve">Other opex ($)</t>
  </si>
  <si>
    <t xml:space="preserve">Rent &amp; fixed ($)</t>
  </si>
  <si>
    <t xml:space="preserve">Est. operating profit ($)</t>
  </si>
  <si>
    <t xml:space="preserve">Margin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</si>
  <si>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</si>
  <si>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</si>
  <si>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</si>
  <si>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</si>
  <si>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</si>
  <si>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 1-7 (partial)</t>
  </si>
  <si>
    <t xml:space="preserve">Rent is prorated by days in the month. Every cost line is a % of sales or a flat placeholder - replace Assumptions B12:B15 with real figures before relying on any profit number.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</si>
</sst>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.0%"/>
    <numFmt numFmtId="167" formatCode="\$#,##0;&quot;($&quot;#,##0\);\-"/>
    <numFmt numFmtId="168" formatCode="\$#,##0.00;&quot;($&quot;#,##0.00\);\-"/>
    <numFmt numFmtId="169" formatCode="#,##0;\(#,##0\);\-"/>
    <numFmt numFmtId="170" formatCode="0.0%;\(0.0%\);\-"/>
    <numFmt numFmtId="171" formatCode="#,##0.0"/>
    <numFmt numFmtId="172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4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5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15</v>
      </c>
    </row>
    <row r="3" customFormat="false" ht="15" hidden="false" customHeight="false" outlineLevel="0" collapsed="false">
      <c r="A3" s="6" t="s">
        <v>16</v>
      </c>
      <c r="B3" s="7"/>
      <c r="C3" s="7"/>
    </row>
    <row r="4" customFormat="false" ht="15" hidden="false" customHeight="false" outlineLevel="0" collapsed="false">
      <c r="A4" s="8" t="s">
        <v>17</v>
      </c>
      <c r="B4" s="9" t="n">
        <v>46146</v>
      </c>
      <c r="C4" s="8" t="s">
        <v>18</v>
      </c>
    </row>
    <row r="5" customFormat="false" ht="15" hidden="false" customHeight="false" outlineLevel="0" collapsed="false">
      <c r="A5" s="8" t="s">
        <v>19</v>
      </c>
      <c r="B5" s="9" t="n">
        <v>46258</v>
      </c>
      <c r="C5" s="8" t="s">
        <v>20</v>
      </c>
    </row>
    <row r="6" customFormat="false" ht="15" hidden="false" customHeight="false" outlineLevel="0" collapsed="false">
      <c r="A6" s="8" t="s">
        <v>21</v>
      </c>
      <c r="B6" s="9" t="n">
        <v>46272</v>
      </c>
      <c r="C6" s="8" t="s">
        <v>22</v>
      </c>
    </row>
    <row r="7" customFormat="false" ht="15" hidden="false" customHeight="false" outlineLevel="0" collapsed="false">
      <c r="A7" s="8" t="s">
        <v>23</v>
      </c>
      <c r="B7" s="9" t="n">
        <v>46293</v>
      </c>
      <c r="C7" s="8" t="s">
        <v>24</v>
      </c>
    </row>
    <row r="8" customFormat="false" ht="15" hidden="false" customHeight="false" outlineLevel="0" collapsed="false">
      <c r="A8" s="8" t="s">
        <v>25</v>
      </c>
      <c r="B8" s="10" t="n">
        <f aca="false">B5+6</f>
        <v>46264</v>
      </c>
      <c r="C8" s="8" t="s">
        <v>26</v>
      </c>
    </row>
    <row r="9" customFormat="false" ht="15" hidden="false" customHeight="false" outlineLevel="0" collapsed="false">
      <c r="A9" s="8" t="s">
        <v>27</v>
      </c>
      <c r="B9" s="10" t="n">
        <f aca="false">B7+6</f>
        <v>46299</v>
      </c>
      <c r="C9" s="8" t="s">
        <v>26</v>
      </c>
    </row>
    <row r="11" customFormat="false" ht="15" hidden="false" customHeight="false" outlineLevel="0" collapsed="false">
      <c r="A11" s="6" t="s">
        <v>28</v>
      </c>
      <c r="B11" s="7"/>
      <c r="C11" s="7"/>
    </row>
    <row r="12" customFormat="false" ht="15" hidden="false" customHeight="false" outlineLevel="0" collapsed="false">
      <c r="A12" s="8" t="s">
        <v>29</v>
      </c>
      <c r="B12" s="11" t="n">
        <v>0.3</v>
      </c>
      <c r="C12" s="8" t="s">
        <v>30</v>
      </c>
    </row>
    <row r="13" customFormat="false" ht="15" hidden="false" customHeight="false" outlineLevel="0" collapsed="false">
      <c r="A13" s="8" t="s">
        <v>31</v>
      </c>
      <c r="B13" s="11" t="n">
        <v>0.3</v>
      </c>
      <c r="C13" s="8" t="s">
        <v>32</v>
      </c>
    </row>
    <row r="14" customFormat="false" ht="15" hidden="false" customHeight="false" outlineLevel="0" collapsed="false">
      <c r="A14" s="8" t="s">
        <v>33</v>
      </c>
      <c r="B14" s="11" t="n">
        <v>0.1</v>
      </c>
      <c r="C14" s="8" t="s">
        <v>34</v>
      </c>
    </row>
    <row r="15" customFormat="false" ht="15" hidden="false" customHeight="false" outlineLevel="0" collapsed="false">
      <c r="A15" s="8" t="s">
        <v>35</v>
      </c>
      <c r="B15" s="12" t="n">
        <v>8000</v>
      </c>
      <c r="C15" s="8" t="s">
        <v>36</v>
      </c>
    </row>
    <row r="17" customFormat="false" ht="15" hidden="false" customHeight="false" outlineLevel="0" collapsed="false">
      <c r="A17" s="6" t="s">
        <v>37</v>
      </c>
      <c r="B17" s="7"/>
      <c r="C17" s="7"/>
    </row>
    <row r="18" customFormat="false" ht="15" hidden="false" customHeight="false" outlineLevel="0" collapsed="false">
      <c r="A18" s="8" t="s">
        <v>38</v>
      </c>
      <c r="B18" s="11" t="n">
        <v>0.25</v>
      </c>
      <c r="C18" s="8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</cols>
  <sheetData>
    <row r="1" customFormat="false" ht="26.85" hidden="false" customHeight="false" outlineLevel="0" collapsed="false">
      <c r="A1" s="13" t="s">
        <v>40</v>
      </c>
      <c r="B1" s="13" t="s">
        <v>41</v>
      </c>
      <c r="C1" s="13" t="s">
        <v>42</v>
      </c>
      <c r="D1" s="13" t="s">
        <v>43</v>
      </c>
      <c r="E1" s="13" t="s">
        <v>44</v>
      </c>
      <c r="F1" s="13" t="s">
        <v>45</v>
      </c>
      <c r="G1" s="13" t="s">
        <v>46</v>
      </c>
    </row>
    <row r="2" customFormat="false" ht="15" hidden="false" customHeight="false" outlineLevel="0" collapsed="false">
      <c r="A2" s="9" t="n">
        <v>46143</v>
      </c>
      <c r="B2" s="8" t="str">
        <f aca="false">TEXT(A2,"dddd")</f>
        <v>Friday</v>
      </c>
      <c r="C2" s="10" t="n">
        <f aca="false">A2-WEEKDAY(A2,2)+1</f>
        <v>46139</v>
      </c>
      <c r="D2" s="14" t="n">
        <v>1387.51</v>
      </c>
      <c r="E2" s="15" t="n">
        <v>33</v>
      </c>
      <c r="F2" s="15" t="n">
        <v>51</v>
      </c>
      <c r="G2" s="16" t="n">
        <f aca="false">IF(E2=0,0,D2/E2)</f>
        <v>42.0457575757576</v>
      </c>
    </row>
    <row r="3" customFormat="false" ht="15" hidden="false" customHeight="false" outlineLevel="0" collapsed="false">
      <c r="A3" s="9" t="n">
        <v>46144</v>
      </c>
      <c r="B3" s="8" t="str">
        <f aca="false">TEXT(A3,"dddd")</f>
        <v>Saturday</v>
      </c>
      <c r="C3" s="10" t="n">
        <f aca="false">A3-WEEKDAY(A3,2)+1</f>
        <v>46139</v>
      </c>
      <c r="D3" s="14" t="n">
        <v>1339.89</v>
      </c>
      <c r="E3" s="15" t="n">
        <v>34</v>
      </c>
      <c r="F3" s="15" t="n">
        <v>49</v>
      </c>
      <c r="G3" s="16" t="n">
        <f aca="false">IF(E3=0,0,D3/E3)</f>
        <v>39.4085294117647</v>
      </c>
    </row>
    <row r="4" customFormat="false" ht="15" hidden="false" customHeight="false" outlineLevel="0" collapsed="false">
      <c r="A4" s="9" t="n">
        <v>46145</v>
      </c>
      <c r="B4" s="8" t="str">
        <f aca="false">TEXT(A4,"dddd")</f>
        <v>Sunday</v>
      </c>
      <c r="C4" s="10" t="n">
        <f aca="false">A4-WEEKDAY(A4,2)+1</f>
        <v>46139</v>
      </c>
      <c r="D4" s="14" t="n">
        <v>1370.72</v>
      </c>
      <c r="E4" s="15" t="n">
        <v>30</v>
      </c>
      <c r="F4" s="15" t="n">
        <v>45</v>
      </c>
      <c r="G4" s="16" t="n">
        <f aca="false">IF(E4=0,0,D4/E4)</f>
        <v>45.6906666666667</v>
      </c>
    </row>
    <row r="5" customFormat="false" ht="15" hidden="false" customHeight="false" outlineLevel="0" collapsed="false">
      <c r="A5" s="9" t="n">
        <v>46146</v>
      </c>
      <c r="B5" s="8" t="str">
        <f aca="false">TEXT(A5,"dddd")</f>
        <v>Monday</v>
      </c>
      <c r="C5" s="10" t="n">
        <f aca="false">A5-WEEKDAY(A5,2)+1</f>
        <v>46146</v>
      </c>
      <c r="D5" s="14" t="n">
        <v>811.57</v>
      </c>
      <c r="E5" s="15" t="n">
        <v>19</v>
      </c>
      <c r="F5" s="15" t="n">
        <v>31</v>
      </c>
      <c r="G5" s="16" t="n">
        <f aca="false">IF(E5=0,0,D5/E5)</f>
        <v>42.7142105263158</v>
      </c>
    </row>
    <row r="6" customFormat="false" ht="15" hidden="false" customHeight="false" outlineLevel="0" collapsed="false">
      <c r="A6" s="9" t="n">
        <v>46147</v>
      </c>
      <c r="B6" s="8" t="str">
        <f aca="false">TEXT(A6,"dddd")</f>
        <v>Tuesday</v>
      </c>
      <c r="C6" s="10" t="n">
        <f aca="false">A6-WEEKDAY(A6,2)+1</f>
        <v>46146</v>
      </c>
      <c r="D6" s="14" t="n">
        <v>717.12</v>
      </c>
      <c r="E6" s="15" t="n">
        <v>19</v>
      </c>
      <c r="F6" s="15" t="n">
        <v>30</v>
      </c>
      <c r="G6" s="16" t="n">
        <f aca="false">IF(E6=0,0,D6/E6)</f>
        <v>37.7431578947368</v>
      </c>
    </row>
    <row r="7" customFormat="false" ht="15" hidden="false" customHeight="false" outlineLevel="0" collapsed="false">
      <c r="A7" s="9" t="n">
        <v>46148</v>
      </c>
      <c r="B7" s="8" t="str">
        <f aca="false">TEXT(A7,"dddd")</f>
        <v>Wednesday</v>
      </c>
      <c r="C7" s="10" t="n">
        <f aca="false">A7-WEEKDAY(A7,2)+1</f>
        <v>46146</v>
      </c>
      <c r="D7" s="14" t="n">
        <v>798.5</v>
      </c>
      <c r="E7" s="15" t="n">
        <v>22</v>
      </c>
      <c r="F7" s="15" t="n">
        <v>33</v>
      </c>
      <c r="G7" s="16" t="n">
        <f aca="false">IF(E7=0,0,D7/E7)</f>
        <v>36.2954545454546</v>
      </c>
    </row>
    <row r="8" customFormat="false" ht="15" hidden="false" customHeight="false" outlineLevel="0" collapsed="false">
      <c r="A8" s="9" t="n">
        <v>46149</v>
      </c>
      <c r="B8" s="8" t="str">
        <f aca="false">TEXT(A8,"dddd")</f>
        <v>Thursday</v>
      </c>
      <c r="C8" s="10" t="n">
        <f aca="false">A8-WEEKDAY(A8,2)+1</f>
        <v>46146</v>
      </c>
      <c r="D8" s="14" t="n">
        <v>583.79</v>
      </c>
      <c r="E8" s="15" t="n">
        <v>16</v>
      </c>
      <c r="F8" s="15" t="n">
        <v>21</v>
      </c>
      <c r="G8" s="16" t="n">
        <f aca="false">IF(E8=0,0,D8/E8)</f>
        <v>36.486875</v>
      </c>
    </row>
    <row r="9" customFormat="false" ht="15" hidden="false" customHeight="false" outlineLevel="0" collapsed="false">
      <c r="A9" s="9" t="n">
        <v>46150</v>
      </c>
      <c r="B9" s="8" t="str">
        <f aca="false">TEXT(A9,"dddd")</f>
        <v>Friday</v>
      </c>
      <c r="C9" s="10" t="n">
        <f aca="false">A9-WEEKDAY(A9,2)+1</f>
        <v>46146</v>
      </c>
      <c r="D9" s="14" t="n">
        <v>1170.05</v>
      </c>
      <c r="E9" s="15" t="n">
        <v>32</v>
      </c>
      <c r="F9" s="15" t="n">
        <v>52</v>
      </c>
      <c r="G9" s="16" t="n">
        <f aca="false">IF(E9=0,0,D9/E9)</f>
        <v>36.5640625</v>
      </c>
    </row>
    <row r="10" customFormat="false" ht="15" hidden="false" customHeight="false" outlineLevel="0" collapsed="false">
      <c r="A10" s="9" t="n">
        <v>46151</v>
      </c>
      <c r="B10" s="8" t="str">
        <f aca="false">TEXT(A10,"dddd")</f>
        <v>Saturday</v>
      </c>
      <c r="C10" s="10" t="n">
        <f aca="false">A10-WEEKDAY(A10,2)+1</f>
        <v>46146</v>
      </c>
      <c r="D10" s="14" t="n">
        <v>1492.79</v>
      </c>
      <c r="E10" s="15" t="n">
        <v>37</v>
      </c>
      <c r="F10" s="15" t="n">
        <v>45</v>
      </c>
      <c r="G10" s="16" t="n">
        <f aca="false">IF(E10=0,0,D10/E10)</f>
        <v>40.3456756756757</v>
      </c>
    </row>
    <row r="11" customFormat="false" ht="15" hidden="false" customHeight="false" outlineLevel="0" collapsed="false">
      <c r="A11" s="9" t="n">
        <v>46152</v>
      </c>
      <c r="B11" s="8" t="str">
        <f aca="false">TEXT(A11,"dddd")</f>
        <v>Sunday</v>
      </c>
      <c r="C11" s="10" t="n">
        <f aca="false">A11-WEEKDAY(A11,2)+1</f>
        <v>46146</v>
      </c>
      <c r="D11" s="14" t="n">
        <v>1143.25</v>
      </c>
      <c r="E11" s="15" t="n">
        <v>28</v>
      </c>
      <c r="F11" s="15" t="n">
        <v>45</v>
      </c>
      <c r="G11" s="16" t="n">
        <f aca="false">IF(E11=0,0,D11/E11)</f>
        <v>40.8303571428571</v>
      </c>
    </row>
    <row r="12" customFormat="false" ht="15" hidden="false" customHeight="false" outlineLevel="0" collapsed="false">
      <c r="A12" s="9" t="n">
        <v>46153</v>
      </c>
      <c r="B12" s="8" t="str">
        <f aca="false">TEXT(A12,"dddd")</f>
        <v>Monday</v>
      </c>
      <c r="C12" s="10" t="n">
        <f aca="false">A12-WEEKDAY(A12,2)+1</f>
        <v>46153</v>
      </c>
      <c r="D12" s="14" t="n">
        <v>629.25</v>
      </c>
      <c r="E12" s="15" t="n">
        <v>16</v>
      </c>
      <c r="F12" s="15" t="n">
        <v>23</v>
      </c>
      <c r="G12" s="16" t="n">
        <f aca="false">IF(E12=0,0,D12/E12)</f>
        <v>39.328125</v>
      </c>
    </row>
    <row r="13" customFormat="false" ht="15" hidden="false" customHeight="false" outlineLevel="0" collapsed="false">
      <c r="A13" s="9" t="n">
        <v>46154</v>
      </c>
      <c r="B13" s="8" t="str">
        <f aca="false">TEXT(A13,"dddd")</f>
        <v>Tuesday</v>
      </c>
      <c r="C13" s="10" t="n">
        <f aca="false">A13-WEEKDAY(A13,2)+1</f>
        <v>46153</v>
      </c>
      <c r="D13" s="14" t="n">
        <v>715.41</v>
      </c>
      <c r="E13" s="15" t="n">
        <v>16</v>
      </c>
      <c r="F13" s="15" t="n">
        <v>23</v>
      </c>
      <c r="G13" s="16" t="n">
        <f aca="false">IF(E13=0,0,D13/E13)</f>
        <v>44.713125</v>
      </c>
    </row>
    <row r="14" customFormat="false" ht="15" hidden="false" customHeight="false" outlineLevel="0" collapsed="false">
      <c r="A14" s="9" t="n">
        <v>46155</v>
      </c>
      <c r="B14" s="8" t="str">
        <f aca="false">TEXT(A14,"dddd")</f>
        <v>Wednesday</v>
      </c>
      <c r="C14" s="10" t="n">
        <f aca="false">A14-WEEKDAY(A14,2)+1</f>
        <v>46153</v>
      </c>
      <c r="D14" s="14" t="n">
        <v>837.81</v>
      </c>
      <c r="E14" s="15" t="n">
        <v>19</v>
      </c>
      <c r="F14" s="15" t="n">
        <v>28</v>
      </c>
      <c r="G14" s="16" t="n">
        <f aca="false">IF(E14=0,0,D14/E14)</f>
        <v>44.0952631578947</v>
      </c>
    </row>
    <row r="15" customFormat="false" ht="15" hidden="false" customHeight="false" outlineLevel="0" collapsed="false">
      <c r="A15" s="9" t="n">
        <v>46156</v>
      </c>
      <c r="B15" s="8" t="str">
        <f aca="false">TEXT(A15,"dddd")</f>
        <v>Thursday</v>
      </c>
      <c r="C15" s="10" t="n">
        <f aca="false">A15-WEEKDAY(A15,2)+1</f>
        <v>46153</v>
      </c>
      <c r="D15" s="14" t="n">
        <v>869.12</v>
      </c>
      <c r="E15" s="15" t="n">
        <v>21</v>
      </c>
      <c r="F15" s="15" t="n">
        <v>33</v>
      </c>
      <c r="G15" s="16" t="n">
        <f aca="false">IF(E15=0,0,D15/E15)</f>
        <v>41.3866666666667</v>
      </c>
    </row>
    <row r="16" customFormat="false" ht="15" hidden="false" customHeight="false" outlineLevel="0" collapsed="false">
      <c r="A16" s="9" t="n">
        <v>46157</v>
      </c>
      <c r="B16" s="8" t="str">
        <f aca="false">TEXT(A16,"dddd")</f>
        <v>Friday</v>
      </c>
      <c r="C16" s="10" t="n">
        <f aca="false">A16-WEEKDAY(A16,2)+1</f>
        <v>46153</v>
      </c>
      <c r="D16" s="14" t="n">
        <v>1196.73</v>
      </c>
      <c r="E16" s="15" t="n">
        <v>29</v>
      </c>
      <c r="F16" s="15" t="n">
        <v>52</v>
      </c>
      <c r="G16" s="16" t="n">
        <f aca="false">IF(E16=0,0,D16/E16)</f>
        <v>41.2665517241379</v>
      </c>
    </row>
    <row r="17" customFormat="false" ht="15" hidden="false" customHeight="false" outlineLevel="0" collapsed="false">
      <c r="A17" s="9" t="n">
        <v>46158</v>
      </c>
      <c r="B17" s="8" t="str">
        <f aca="false">TEXT(A17,"dddd")</f>
        <v>Saturday</v>
      </c>
      <c r="C17" s="10" t="n">
        <f aca="false">A17-WEEKDAY(A17,2)+1</f>
        <v>46153</v>
      </c>
      <c r="D17" s="14" t="n">
        <v>1408.25</v>
      </c>
      <c r="E17" s="15" t="n">
        <v>32</v>
      </c>
      <c r="F17" s="15" t="n">
        <v>51</v>
      </c>
      <c r="G17" s="16" t="n">
        <f aca="false">IF(E17=0,0,D17/E17)</f>
        <v>44.0078125</v>
      </c>
    </row>
    <row r="18" customFormat="false" ht="15" hidden="false" customHeight="false" outlineLevel="0" collapsed="false">
      <c r="A18" s="9" t="n">
        <v>46159</v>
      </c>
      <c r="B18" s="8" t="str">
        <f aca="false">TEXT(A18,"dddd")</f>
        <v>Sunday</v>
      </c>
      <c r="C18" s="10" t="n">
        <f aca="false">A18-WEEKDAY(A18,2)+1</f>
        <v>46153</v>
      </c>
      <c r="D18" s="14" t="n">
        <v>1344.04</v>
      </c>
      <c r="E18" s="15" t="n">
        <v>28</v>
      </c>
      <c r="F18" s="15" t="n">
        <v>48</v>
      </c>
      <c r="G18" s="16" t="n">
        <f aca="false">IF(E18=0,0,D18/E18)</f>
        <v>48.0014285714286</v>
      </c>
    </row>
    <row r="19" customFormat="false" ht="15" hidden="false" customHeight="false" outlineLevel="0" collapsed="false">
      <c r="A19" s="9" t="n">
        <v>46160</v>
      </c>
      <c r="B19" s="8" t="str">
        <f aca="false">TEXT(A19,"dddd")</f>
        <v>Monday</v>
      </c>
      <c r="C19" s="10" t="n">
        <f aca="false">A19-WEEKDAY(A19,2)+1</f>
        <v>46160</v>
      </c>
      <c r="D19" s="14" t="n">
        <v>701.43</v>
      </c>
      <c r="E19" s="15" t="n">
        <v>17</v>
      </c>
      <c r="F19" s="15" t="n">
        <v>28</v>
      </c>
      <c r="G19" s="16" t="n">
        <f aca="false">IF(E19=0,0,D19/E19)</f>
        <v>41.2605882352941</v>
      </c>
    </row>
    <row r="20" customFormat="false" ht="15" hidden="false" customHeight="false" outlineLevel="0" collapsed="false">
      <c r="A20" s="9" t="n">
        <v>46161</v>
      </c>
      <c r="B20" s="8" t="str">
        <f aca="false">TEXT(A20,"dddd")</f>
        <v>Tuesday</v>
      </c>
      <c r="C20" s="10" t="n">
        <f aca="false">A20-WEEKDAY(A20,2)+1</f>
        <v>46160</v>
      </c>
      <c r="D20" s="14" t="n">
        <v>781.02</v>
      </c>
      <c r="E20" s="15" t="n">
        <v>18</v>
      </c>
      <c r="F20" s="15" t="n">
        <v>28</v>
      </c>
      <c r="G20" s="16" t="n">
        <f aca="false">IF(E20=0,0,D20/E20)</f>
        <v>43.39</v>
      </c>
    </row>
    <row r="21" customFormat="false" ht="15" hidden="false" customHeight="false" outlineLevel="0" collapsed="false">
      <c r="A21" s="9" t="n">
        <v>46162</v>
      </c>
      <c r="B21" s="8" t="str">
        <f aca="false">TEXT(A21,"dddd")</f>
        <v>Wednesday</v>
      </c>
      <c r="C21" s="10" t="n">
        <f aca="false">A21-WEEKDAY(A21,2)+1</f>
        <v>46160</v>
      </c>
      <c r="D21" s="14" t="n">
        <v>1012.77</v>
      </c>
      <c r="E21" s="15" t="n">
        <v>22</v>
      </c>
      <c r="F21" s="15" t="n">
        <v>32</v>
      </c>
      <c r="G21" s="16" t="n">
        <f aca="false">IF(E21=0,0,D21/E21)</f>
        <v>46.035</v>
      </c>
    </row>
    <row r="22" customFormat="false" ht="15" hidden="false" customHeight="false" outlineLevel="0" collapsed="false">
      <c r="A22" s="9" t="n">
        <v>46163</v>
      </c>
      <c r="B22" s="8" t="str">
        <f aca="false">TEXT(A22,"dddd")</f>
        <v>Thursday</v>
      </c>
      <c r="C22" s="10" t="n">
        <f aca="false">A22-WEEKDAY(A22,2)+1</f>
        <v>46160</v>
      </c>
      <c r="D22" s="14" t="n">
        <v>866.33</v>
      </c>
      <c r="E22" s="15" t="n">
        <v>22</v>
      </c>
      <c r="F22" s="15" t="n">
        <v>35</v>
      </c>
      <c r="G22" s="16" t="n">
        <f aca="false">IF(E22=0,0,D22/E22)</f>
        <v>39.3786363636364</v>
      </c>
    </row>
    <row r="23" customFormat="false" ht="15" hidden="false" customHeight="false" outlineLevel="0" collapsed="false">
      <c r="A23" s="9" t="n">
        <v>46164</v>
      </c>
      <c r="B23" s="8" t="str">
        <f aca="false">TEXT(A23,"dddd")</f>
        <v>Friday</v>
      </c>
      <c r="C23" s="10" t="n">
        <f aca="false">A23-WEEKDAY(A23,2)+1</f>
        <v>46160</v>
      </c>
      <c r="D23" s="14" t="n">
        <v>1130.2</v>
      </c>
      <c r="E23" s="15" t="n">
        <v>29</v>
      </c>
      <c r="F23" s="15" t="n">
        <v>45</v>
      </c>
      <c r="G23" s="16" t="n">
        <f aca="false">IF(E23=0,0,D23/E23)</f>
        <v>38.9724137931035</v>
      </c>
    </row>
    <row r="24" customFormat="false" ht="15" hidden="false" customHeight="false" outlineLevel="0" collapsed="false">
      <c r="A24" s="9" t="n">
        <v>46165</v>
      </c>
      <c r="B24" s="8" t="str">
        <f aca="false">TEXT(A24,"dddd")</f>
        <v>Saturday</v>
      </c>
      <c r="C24" s="10" t="n">
        <f aca="false">A24-WEEKDAY(A24,2)+1</f>
        <v>46160</v>
      </c>
      <c r="D24" s="14" t="n">
        <v>1755.32</v>
      </c>
      <c r="E24" s="15" t="n">
        <v>39</v>
      </c>
      <c r="F24" s="15" t="n">
        <v>54</v>
      </c>
      <c r="G24" s="16" t="n">
        <f aca="false">IF(E24=0,0,D24/E24)</f>
        <v>45.0082051282051</v>
      </c>
    </row>
    <row r="25" customFormat="false" ht="15" hidden="false" customHeight="false" outlineLevel="0" collapsed="false">
      <c r="A25" s="9" t="n">
        <v>46166</v>
      </c>
      <c r="B25" s="8" t="str">
        <f aca="false">TEXT(A25,"dddd")</f>
        <v>Sunday</v>
      </c>
      <c r="C25" s="10" t="n">
        <f aca="false">A25-WEEKDAY(A25,2)+1</f>
        <v>46160</v>
      </c>
      <c r="D25" s="14" t="n">
        <v>1168.13</v>
      </c>
      <c r="E25" s="15" t="n">
        <v>27</v>
      </c>
      <c r="F25" s="15" t="n">
        <v>35</v>
      </c>
      <c r="G25" s="16" t="n">
        <f aca="false">IF(E25=0,0,D25/E25)</f>
        <v>43.2640740740741</v>
      </c>
    </row>
    <row r="26" customFormat="false" ht="15" hidden="false" customHeight="false" outlineLevel="0" collapsed="false">
      <c r="A26" s="9" t="n">
        <v>46167</v>
      </c>
      <c r="B26" s="8" t="str">
        <f aca="false">TEXT(A26,"dddd")</f>
        <v>Monday</v>
      </c>
      <c r="C26" s="10" t="n">
        <f aca="false">A26-WEEKDAY(A26,2)+1</f>
        <v>46167</v>
      </c>
      <c r="D26" s="14" t="n">
        <v>772.53</v>
      </c>
      <c r="E26" s="15" t="n">
        <v>19</v>
      </c>
      <c r="F26" s="15" t="n">
        <v>33</v>
      </c>
      <c r="G26" s="16" t="n">
        <f aca="false">IF(E26=0,0,D26/E26)</f>
        <v>40.6594736842105</v>
      </c>
    </row>
    <row r="27" customFormat="false" ht="15" hidden="false" customHeight="false" outlineLevel="0" collapsed="false">
      <c r="A27" s="9" t="n">
        <v>46168</v>
      </c>
      <c r="B27" s="8" t="str">
        <f aca="false">TEXT(A27,"dddd")</f>
        <v>Tuesday</v>
      </c>
      <c r="C27" s="10" t="n">
        <f aca="false">A27-WEEKDAY(A27,2)+1</f>
        <v>46167</v>
      </c>
      <c r="D27" s="14" t="n">
        <v>836.95</v>
      </c>
      <c r="E27" s="15" t="n">
        <v>21</v>
      </c>
      <c r="F27" s="15" t="n">
        <v>32</v>
      </c>
      <c r="G27" s="16" t="n">
        <f aca="false">IF(E27=0,0,D27/E27)</f>
        <v>39.8547619047619</v>
      </c>
    </row>
    <row r="28" customFormat="false" ht="15" hidden="false" customHeight="false" outlineLevel="0" collapsed="false">
      <c r="A28" s="9" t="n">
        <v>46169</v>
      </c>
      <c r="B28" s="8" t="str">
        <f aca="false">TEXT(A28,"dddd")</f>
        <v>Wednesday</v>
      </c>
      <c r="C28" s="10" t="n">
        <f aca="false">A28-WEEKDAY(A28,2)+1</f>
        <v>46167</v>
      </c>
      <c r="D28" s="14" t="n">
        <v>880.31</v>
      </c>
      <c r="E28" s="15" t="n">
        <v>19</v>
      </c>
      <c r="F28" s="15" t="n">
        <v>29</v>
      </c>
      <c r="G28" s="16" t="n">
        <f aca="false">IF(E28=0,0,D28/E28)</f>
        <v>46.3321052631579</v>
      </c>
    </row>
    <row r="29" customFormat="false" ht="15" hidden="false" customHeight="false" outlineLevel="0" collapsed="false">
      <c r="A29" s="9" t="n">
        <v>46170</v>
      </c>
      <c r="B29" s="8" t="str">
        <f aca="false">TEXT(A29,"dddd")</f>
        <v>Thursday</v>
      </c>
      <c r="C29" s="10" t="n">
        <f aca="false">A29-WEEKDAY(A29,2)+1</f>
        <v>46167</v>
      </c>
      <c r="D29" s="14" t="n">
        <v>886.92</v>
      </c>
      <c r="E29" s="15" t="n">
        <v>21</v>
      </c>
      <c r="F29" s="15" t="n">
        <v>33</v>
      </c>
      <c r="G29" s="16" t="n">
        <f aca="false">IF(E29=0,0,D29/E29)</f>
        <v>42.2342857142857</v>
      </c>
    </row>
    <row r="30" customFormat="false" ht="15" hidden="false" customHeight="false" outlineLevel="0" collapsed="false">
      <c r="A30" s="9" t="n">
        <v>46171</v>
      </c>
      <c r="B30" s="8" t="str">
        <f aca="false">TEXT(A30,"dddd")</f>
        <v>Friday</v>
      </c>
      <c r="C30" s="10" t="n">
        <f aca="false">A30-WEEKDAY(A30,2)+1</f>
        <v>46167</v>
      </c>
      <c r="D30" s="14" t="n">
        <v>1187.22</v>
      </c>
      <c r="E30" s="15" t="n">
        <v>32</v>
      </c>
      <c r="F30" s="15" t="n">
        <v>51</v>
      </c>
      <c r="G30" s="16" t="n">
        <f aca="false">IF(E30=0,0,D30/E30)</f>
        <v>37.100625</v>
      </c>
    </row>
    <row r="31" customFormat="false" ht="15" hidden="false" customHeight="false" outlineLevel="0" collapsed="false">
      <c r="A31" s="9" t="n">
        <v>46172</v>
      </c>
      <c r="B31" s="8" t="str">
        <f aca="false">TEXT(A31,"dddd")</f>
        <v>Saturday</v>
      </c>
      <c r="C31" s="10" t="n">
        <f aca="false">A31-WEEKDAY(A31,2)+1</f>
        <v>46167</v>
      </c>
      <c r="D31" s="14" t="n">
        <v>1577.85</v>
      </c>
      <c r="E31" s="15" t="n">
        <v>35</v>
      </c>
      <c r="F31" s="15" t="n">
        <v>59</v>
      </c>
      <c r="G31" s="16" t="n">
        <f aca="false">IF(E31=0,0,D31/E31)</f>
        <v>45.0814285714286</v>
      </c>
    </row>
    <row r="32" customFormat="false" ht="15" hidden="false" customHeight="false" outlineLevel="0" collapsed="false">
      <c r="A32" s="9" t="n">
        <v>46173</v>
      </c>
      <c r="B32" s="8" t="str">
        <f aca="false">TEXT(A32,"dddd")</f>
        <v>Sunday</v>
      </c>
      <c r="C32" s="10" t="n">
        <f aca="false">A32-WEEKDAY(A32,2)+1</f>
        <v>46167</v>
      </c>
      <c r="D32" s="14" t="n">
        <v>1256.84</v>
      </c>
      <c r="E32" s="15" t="n">
        <v>29</v>
      </c>
      <c r="F32" s="15" t="n">
        <v>44</v>
      </c>
      <c r="G32" s="16" t="n">
        <f aca="false">IF(E32=0,0,D32/E32)</f>
        <v>43.3393103448276</v>
      </c>
    </row>
    <row r="33" customFormat="false" ht="15" hidden="false" customHeight="false" outlineLevel="0" collapsed="false">
      <c r="A33" s="9" t="n">
        <v>46174</v>
      </c>
      <c r="B33" s="8" t="str">
        <f aca="false">TEXT(A33,"dddd")</f>
        <v>Monday</v>
      </c>
      <c r="C33" s="10" t="n">
        <f aca="false">A33-WEEKDAY(A33,2)+1</f>
        <v>46174</v>
      </c>
      <c r="D33" s="14" t="n">
        <v>983.55</v>
      </c>
      <c r="E33" s="15" t="n">
        <v>24</v>
      </c>
      <c r="F33" s="15" t="n">
        <v>40</v>
      </c>
      <c r="G33" s="16" t="n">
        <f aca="false">IF(E33=0,0,D33/E33)</f>
        <v>40.98125</v>
      </c>
    </row>
    <row r="34" customFormat="false" ht="15" hidden="false" customHeight="false" outlineLevel="0" collapsed="false">
      <c r="A34" s="9" t="n">
        <v>46175</v>
      </c>
      <c r="B34" s="8" t="str">
        <f aca="false">TEXT(A34,"dddd")</f>
        <v>Tuesday</v>
      </c>
      <c r="C34" s="10" t="n">
        <f aca="false">A34-WEEKDAY(A34,2)+1</f>
        <v>46174</v>
      </c>
      <c r="D34" s="14" t="n">
        <v>633.2</v>
      </c>
      <c r="E34" s="15" t="n">
        <v>15</v>
      </c>
      <c r="F34" s="15" t="n">
        <v>20</v>
      </c>
      <c r="G34" s="16" t="n">
        <f aca="false">IF(E34=0,0,D34/E34)</f>
        <v>42.2133333333333</v>
      </c>
    </row>
    <row r="35" customFormat="false" ht="15" hidden="false" customHeight="false" outlineLevel="0" collapsed="false">
      <c r="A35" s="9" t="n">
        <v>46176</v>
      </c>
      <c r="B35" s="8" t="str">
        <f aca="false">TEXT(A35,"dddd")</f>
        <v>Wednesday</v>
      </c>
      <c r="C35" s="10" t="n">
        <f aca="false">A35-WEEKDAY(A35,2)+1</f>
        <v>46174</v>
      </c>
      <c r="D35" s="14" t="n">
        <v>519.15</v>
      </c>
      <c r="E35" s="15" t="n">
        <v>13</v>
      </c>
      <c r="F35" s="15" t="n">
        <v>19</v>
      </c>
      <c r="G35" s="16" t="n">
        <f aca="false">IF(E35=0,0,D35/E35)</f>
        <v>39.9346153846154</v>
      </c>
    </row>
    <row r="36" customFormat="false" ht="15" hidden="false" customHeight="false" outlineLevel="0" collapsed="false">
      <c r="A36" s="9" t="n">
        <v>46177</v>
      </c>
      <c r="B36" s="8" t="str">
        <f aca="false">TEXT(A36,"dddd")</f>
        <v>Thursday</v>
      </c>
      <c r="C36" s="10" t="n">
        <f aca="false">A36-WEEKDAY(A36,2)+1</f>
        <v>46174</v>
      </c>
      <c r="D36" s="14" t="n">
        <v>1074.85</v>
      </c>
      <c r="E36" s="15" t="n">
        <v>22</v>
      </c>
      <c r="F36" s="15" t="n">
        <v>32</v>
      </c>
      <c r="G36" s="16" t="n">
        <f aca="false">IF(E36=0,0,D36/E36)</f>
        <v>48.8568181818182</v>
      </c>
    </row>
    <row r="37" customFormat="false" ht="15" hidden="false" customHeight="false" outlineLevel="0" collapsed="false">
      <c r="A37" s="9" t="n">
        <v>46178</v>
      </c>
      <c r="B37" s="8" t="str">
        <f aca="false">TEXT(A37,"dddd")</f>
        <v>Friday</v>
      </c>
      <c r="C37" s="10" t="n">
        <f aca="false">A37-WEEKDAY(A37,2)+1</f>
        <v>46174</v>
      </c>
      <c r="D37" s="14" t="n">
        <v>1293.29</v>
      </c>
      <c r="E37" s="15" t="n">
        <v>31</v>
      </c>
      <c r="F37" s="15" t="n">
        <v>51</v>
      </c>
      <c r="G37" s="16" t="n">
        <f aca="false">IF(E37=0,0,D37/E37)</f>
        <v>41.7190322580645</v>
      </c>
    </row>
    <row r="38" customFormat="false" ht="15" hidden="false" customHeight="false" outlineLevel="0" collapsed="false">
      <c r="A38" s="9" t="n">
        <v>46179</v>
      </c>
      <c r="B38" s="8" t="str">
        <f aca="false">TEXT(A38,"dddd")</f>
        <v>Saturday</v>
      </c>
      <c r="C38" s="10" t="n">
        <f aca="false">A38-WEEKDAY(A38,2)+1</f>
        <v>46174</v>
      </c>
      <c r="D38" s="14" t="n">
        <v>1450.05</v>
      </c>
      <c r="E38" s="15" t="n">
        <v>36</v>
      </c>
      <c r="F38" s="15" t="n">
        <v>61</v>
      </c>
      <c r="G38" s="16" t="n">
        <f aca="false">IF(E38=0,0,D38/E38)</f>
        <v>40.2791666666667</v>
      </c>
    </row>
    <row r="39" customFormat="false" ht="15" hidden="false" customHeight="false" outlineLevel="0" collapsed="false">
      <c r="A39" s="9" t="n">
        <v>46180</v>
      </c>
      <c r="B39" s="8" t="str">
        <f aca="false">TEXT(A39,"dddd")</f>
        <v>Sunday</v>
      </c>
      <c r="C39" s="10" t="n">
        <f aca="false">A39-WEEKDAY(A39,2)+1</f>
        <v>46174</v>
      </c>
      <c r="D39" s="14" t="n">
        <v>1158.85</v>
      </c>
      <c r="E39" s="15" t="n">
        <v>31</v>
      </c>
      <c r="F39" s="15" t="n">
        <v>49</v>
      </c>
      <c r="G39" s="16" t="n">
        <f aca="false">IF(E39=0,0,D39/E39)</f>
        <v>37.3822580645161</v>
      </c>
    </row>
    <row r="40" customFormat="false" ht="15" hidden="false" customHeight="false" outlineLevel="0" collapsed="false">
      <c r="A40" s="9" t="n">
        <v>46181</v>
      </c>
      <c r="B40" s="8" t="str">
        <f aca="false">TEXT(A40,"dddd")</f>
        <v>Monday</v>
      </c>
      <c r="C40" s="10" t="n">
        <f aca="false">A40-WEEKDAY(A40,2)+1</f>
        <v>46181</v>
      </c>
      <c r="D40" s="14" t="n">
        <v>783.5</v>
      </c>
      <c r="E40" s="15" t="n">
        <v>21</v>
      </c>
      <c r="F40" s="15" t="n">
        <v>34</v>
      </c>
      <c r="G40" s="16" t="n">
        <f aca="false">IF(E40=0,0,D40/E40)</f>
        <v>37.3095238095238</v>
      </c>
    </row>
    <row r="41" customFormat="false" ht="15" hidden="false" customHeight="false" outlineLevel="0" collapsed="false">
      <c r="A41" s="9" t="n">
        <v>46182</v>
      </c>
      <c r="B41" s="8" t="str">
        <f aca="false">TEXT(A41,"dddd")</f>
        <v>Tuesday</v>
      </c>
      <c r="C41" s="10" t="n">
        <f aca="false">A41-WEEKDAY(A41,2)+1</f>
        <v>46181</v>
      </c>
      <c r="D41" s="14" t="n">
        <v>710.44</v>
      </c>
      <c r="E41" s="15" t="n">
        <v>16</v>
      </c>
      <c r="F41" s="15" t="n">
        <v>26</v>
      </c>
      <c r="G41" s="16" t="n">
        <f aca="false">IF(E41=0,0,D41/E41)</f>
        <v>44.4025</v>
      </c>
    </row>
    <row r="42" customFormat="false" ht="15" hidden="false" customHeight="false" outlineLevel="0" collapsed="false">
      <c r="A42" s="9" t="n">
        <v>46183</v>
      </c>
      <c r="B42" s="8" t="str">
        <f aca="false">TEXT(A42,"dddd")</f>
        <v>Wednesday</v>
      </c>
      <c r="C42" s="10" t="n">
        <f aca="false">A42-WEEKDAY(A42,2)+1</f>
        <v>46181</v>
      </c>
      <c r="D42" s="14" t="n">
        <v>778.63</v>
      </c>
      <c r="E42" s="15" t="n">
        <v>20</v>
      </c>
      <c r="F42" s="15" t="n">
        <v>31</v>
      </c>
      <c r="G42" s="16" t="n">
        <f aca="false">IF(E42=0,0,D42/E42)</f>
        <v>38.9315</v>
      </c>
    </row>
    <row r="43" customFormat="false" ht="15" hidden="false" customHeight="false" outlineLevel="0" collapsed="false">
      <c r="A43" s="9" t="n">
        <v>46184</v>
      </c>
      <c r="B43" s="8" t="str">
        <f aca="false">TEXT(A43,"dddd")</f>
        <v>Thursday</v>
      </c>
      <c r="C43" s="10" t="n">
        <f aca="false">A43-WEEKDAY(A43,2)+1</f>
        <v>46181</v>
      </c>
      <c r="D43" s="14" t="n">
        <v>592.64</v>
      </c>
      <c r="E43" s="15" t="n">
        <v>16</v>
      </c>
      <c r="F43" s="15" t="n">
        <v>26</v>
      </c>
      <c r="G43" s="16" t="n">
        <f aca="false">IF(E43=0,0,D43/E43)</f>
        <v>37.04</v>
      </c>
    </row>
    <row r="44" customFormat="false" ht="15" hidden="false" customHeight="false" outlineLevel="0" collapsed="false">
      <c r="A44" s="9" t="n">
        <v>46185</v>
      </c>
      <c r="B44" s="8" t="str">
        <f aca="false">TEXT(A44,"dddd")</f>
        <v>Friday</v>
      </c>
      <c r="C44" s="10" t="n">
        <f aca="false">A44-WEEKDAY(A44,2)+1</f>
        <v>46181</v>
      </c>
      <c r="D44" s="14" t="n">
        <v>1143.04</v>
      </c>
      <c r="E44" s="15" t="n">
        <v>26</v>
      </c>
      <c r="F44" s="15" t="n">
        <v>34</v>
      </c>
      <c r="G44" s="16" t="n">
        <f aca="false">IF(E44=0,0,D44/E44)</f>
        <v>43.9630769230769</v>
      </c>
    </row>
    <row r="45" customFormat="false" ht="15" hidden="false" customHeight="false" outlineLevel="0" collapsed="false">
      <c r="A45" s="9" t="n">
        <v>46186</v>
      </c>
      <c r="B45" s="8" t="str">
        <f aca="false">TEXT(A45,"dddd")</f>
        <v>Saturday</v>
      </c>
      <c r="C45" s="10" t="n">
        <f aca="false">A45-WEEKDAY(A45,2)+1</f>
        <v>46181</v>
      </c>
      <c r="D45" s="14" t="n">
        <v>1483.59</v>
      </c>
      <c r="E45" s="15" t="n">
        <v>39</v>
      </c>
      <c r="F45" s="15" t="n">
        <v>66</v>
      </c>
      <c r="G45" s="16" t="n">
        <f aca="false">IF(E45=0,0,D45/E45)</f>
        <v>38.0407692307692</v>
      </c>
    </row>
    <row r="46" customFormat="false" ht="15" hidden="false" customHeight="false" outlineLevel="0" collapsed="false">
      <c r="A46" s="9" t="n">
        <v>46187</v>
      </c>
      <c r="B46" s="8" t="str">
        <f aca="false">TEXT(A46,"dddd")</f>
        <v>Sunday</v>
      </c>
      <c r="C46" s="10" t="n">
        <f aca="false">A46-WEEKDAY(A46,2)+1</f>
        <v>46181</v>
      </c>
      <c r="D46" s="14" t="n">
        <v>1068.63</v>
      </c>
      <c r="E46" s="15" t="n">
        <v>30</v>
      </c>
      <c r="F46" s="15" t="n">
        <v>53</v>
      </c>
      <c r="G46" s="16" t="n">
        <f aca="false">IF(E46=0,0,D46/E46)</f>
        <v>35.621</v>
      </c>
    </row>
    <row r="47" customFormat="false" ht="15" hidden="false" customHeight="false" outlineLevel="0" collapsed="false">
      <c r="A47" s="9" t="n">
        <v>46188</v>
      </c>
      <c r="B47" s="8" t="str">
        <f aca="false">TEXT(A47,"dddd")</f>
        <v>Monday</v>
      </c>
      <c r="C47" s="10" t="n">
        <f aca="false">A47-WEEKDAY(A47,2)+1</f>
        <v>46188</v>
      </c>
      <c r="D47" s="14" t="n">
        <v>1019.24</v>
      </c>
      <c r="E47" s="15" t="n">
        <v>25</v>
      </c>
      <c r="F47" s="15" t="n">
        <v>38</v>
      </c>
      <c r="G47" s="16" t="n">
        <f aca="false">IF(E47=0,0,D47/E47)</f>
        <v>40.7696</v>
      </c>
    </row>
    <row r="48" customFormat="false" ht="15" hidden="false" customHeight="false" outlineLevel="0" collapsed="false">
      <c r="A48" s="9" t="n">
        <v>46189</v>
      </c>
      <c r="B48" s="8" t="str">
        <f aca="false">TEXT(A48,"dddd")</f>
        <v>Tuesday</v>
      </c>
      <c r="C48" s="10" t="n">
        <f aca="false">A48-WEEKDAY(A48,2)+1</f>
        <v>46188</v>
      </c>
      <c r="D48" s="14" t="n">
        <v>676.57</v>
      </c>
      <c r="E48" s="15" t="n">
        <v>18</v>
      </c>
      <c r="F48" s="15" t="n">
        <v>31</v>
      </c>
      <c r="G48" s="16" t="n">
        <f aca="false">IF(E48=0,0,D48/E48)</f>
        <v>37.5872222222222</v>
      </c>
    </row>
    <row r="49" customFormat="false" ht="15" hidden="false" customHeight="false" outlineLevel="0" collapsed="false">
      <c r="A49" s="9" t="n">
        <v>46190</v>
      </c>
      <c r="B49" s="8" t="str">
        <f aca="false">TEXT(A49,"dddd")</f>
        <v>Wednesday</v>
      </c>
      <c r="C49" s="10" t="n">
        <f aca="false">A49-WEEKDAY(A49,2)+1</f>
        <v>46188</v>
      </c>
      <c r="D49" s="14" t="n">
        <v>734.78</v>
      </c>
      <c r="E49" s="15" t="n">
        <v>18</v>
      </c>
      <c r="F49" s="15" t="n">
        <v>26</v>
      </c>
      <c r="G49" s="16" t="n">
        <f aca="false">IF(E49=0,0,D49/E49)</f>
        <v>40.8211111111111</v>
      </c>
    </row>
    <row r="50" customFormat="false" ht="15" hidden="false" customHeight="false" outlineLevel="0" collapsed="false">
      <c r="A50" s="9" t="n">
        <v>46191</v>
      </c>
      <c r="B50" s="8" t="str">
        <f aca="false">TEXT(A50,"dddd")</f>
        <v>Thursday</v>
      </c>
      <c r="C50" s="10" t="n">
        <f aca="false">A50-WEEKDAY(A50,2)+1</f>
        <v>46188</v>
      </c>
      <c r="D50" s="14" t="n">
        <v>730.56</v>
      </c>
      <c r="E50" s="15" t="n">
        <v>20</v>
      </c>
      <c r="F50" s="15" t="n">
        <v>35</v>
      </c>
      <c r="G50" s="16" t="n">
        <f aca="false">IF(E50=0,0,D50/E50)</f>
        <v>36.528</v>
      </c>
    </row>
    <row r="51" customFormat="false" ht="15" hidden="false" customHeight="false" outlineLevel="0" collapsed="false">
      <c r="A51" s="9" t="n">
        <v>46192</v>
      </c>
      <c r="B51" s="8" t="str">
        <f aca="false">TEXT(A51,"dddd")</f>
        <v>Friday</v>
      </c>
      <c r="C51" s="10" t="n">
        <f aca="false">A51-WEEKDAY(A51,2)+1</f>
        <v>46188</v>
      </c>
      <c r="D51" s="14" t="n">
        <v>1420.18</v>
      </c>
      <c r="E51" s="15" t="n">
        <v>32</v>
      </c>
      <c r="F51" s="15" t="n">
        <v>51</v>
      </c>
      <c r="G51" s="16" t="n">
        <f aca="false">IF(E51=0,0,D51/E51)</f>
        <v>44.380625</v>
      </c>
    </row>
    <row r="52" customFormat="false" ht="15" hidden="false" customHeight="false" outlineLevel="0" collapsed="false">
      <c r="A52" s="9" t="n">
        <v>46193</v>
      </c>
      <c r="B52" s="8" t="str">
        <f aca="false">TEXT(A52,"dddd")</f>
        <v>Saturday</v>
      </c>
      <c r="C52" s="10" t="n">
        <f aca="false">A52-WEEKDAY(A52,2)+1</f>
        <v>46188</v>
      </c>
      <c r="D52" s="14" t="n">
        <v>1355.12</v>
      </c>
      <c r="E52" s="15" t="n">
        <v>34</v>
      </c>
      <c r="F52" s="15" t="n">
        <v>51</v>
      </c>
      <c r="G52" s="16" t="n">
        <f aca="false">IF(E52=0,0,D52/E52)</f>
        <v>39.8564705882353</v>
      </c>
    </row>
    <row r="53" customFormat="false" ht="15" hidden="false" customHeight="false" outlineLevel="0" collapsed="false">
      <c r="A53" s="9" t="n">
        <v>46194</v>
      </c>
      <c r="B53" s="8" t="str">
        <f aca="false">TEXT(A53,"dddd")</f>
        <v>Sunday</v>
      </c>
      <c r="C53" s="10" t="n">
        <f aca="false">A53-WEEKDAY(A53,2)+1</f>
        <v>46188</v>
      </c>
      <c r="D53" s="14" t="n">
        <v>1190.6</v>
      </c>
      <c r="E53" s="15" t="n">
        <v>30</v>
      </c>
      <c r="F53" s="15" t="n">
        <v>46</v>
      </c>
      <c r="G53" s="16" t="n">
        <f aca="false">IF(E53=0,0,D53/E53)</f>
        <v>39.6866666666667</v>
      </c>
    </row>
    <row r="54" customFormat="false" ht="15" hidden="false" customHeight="false" outlineLevel="0" collapsed="false">
      <c r="A54" s="9" t="n">
        <v>46195</v>
      </c>
      <c r="B54" s="8" t="str">
        <f aca="false">TEXT(A54,"dddd")</f>
        <v>Monday</v>
      </c>
      <c r="C54" s="10" t="n">
        <f aca="false">A54-WEEKDAY(A54,2)+1</f>
        <v>46195</v>
      </c>
      <c r="D54" s="14" t="n">
        <v>610.82</v>
      </c>
      <c r="E54" s="15" t="n">
        <v>16</v>
      </c>
      <c r="F54" s="15" t="n">
        <v>29</v>
      </c>
      <c r="G54" s="16" t="n">
        <f aca="false">IF(E54=0,0,D54/E54)</f>
        <v>38.17625</v>
      </c>
    </row>
    <row r="55" customFormat="false" ht="15" hidden="false" customHeight="false" outlineLevel="0" collapsed="false">
      <c r="A55" s="9" t="n">
        <v>46196</v>
      </c>
      <c r="B55" s="8" t="str">
        <f aca="false">TEXT(A55,"dddd")</f>
        <v>Tuesday</v>
      </c>
      <c r="C55" s="10" t="n">
        <f aca="false">A55-WEEKDAY(A55,2)+1</f>
        <v>46195</v>
      </c>
      <c r="D55" s="14" t="n">
        <v>596.97</v>
      </c>
      <c r="E55" s="15" t="n">
        <v>16</v>
      </c>
      <c r="F55" s="15" t="n">
        <v>26</v>
      </c>
      <c r="G55" s="16" t="n">
        <f aca="false">IF(E55=0,0,D55/E55)</f>
        <v>37.310625</v>
      </c>
    </row>
    <row r="56" customFormat="false" ht="15" hidden="false" customHeight="false" outlineLevel="0" collapsed="false">
      <c r="A56" s="9" t="n">
        <v>46197</v>
      </c>
      <c r="B56" s="8" t="str">
        <f aca="false">TEXT(A56,"dddd")</f>
        <v>Wednesday</v>
      </c>
      <c r="C56" s="10" t="n">
        <f aca="false">A56-WEEKDAY(A56,2)+1</f>
        <v>46195</v>
      </c>
      <c r="D56" s="14" t="n">
        <v>861.86</v>
      </c>
      <c r="E56" s="15" t="n">
        <v>24</v>
      </c>
      <c r="F56" s="15" t="n">
        <v>37</v>
      </c>
      <c r="G56" s="16" t="n">
        <f aca="false">IF(E56=0,0,D56/E56)</f>
        <v>35.9108333333333</v>
      </c>
    </row>
    <row r="57" customFormat="false" ht="15" hidden="false" customHeight="false" outlineLevel="0" collapsed="false">
      <c r="A57" s="9" t="n">
        <v>46198</v>
      </c>
      <c r="B57" s="8" t="str">
        <f aca="false">TEXT(A57,"dddd")</f>
        <v>Thursday</v>
      </c>
      <c r="C57" s="10" t="n">
        <f aca="false">A57-WEEKDAY(A57,2)+1</f>
        <v>46195</v>
      </c>
      <c r="D57" s="14" t="n">
        <v>696.73</v>
      </c>
      <c r="E57" s="15" t="n">
        <v>20</v>
      </c>
      <c r="F57" s="15" t="n">
        <v>34</v>
      </c>
      <c r="G57" s="16" t="n">
        <f aca="false">IF(E57=0,0,D57/E57)</f>
        <v>34.8365</v>
      </c>
    </row>
    <row r="58" customFormat="false" ht="15" hidden="false" customHeight="false" outlineLevel="0" collapsed="false">
      <c r="A58" s="9" t="n">
        <v>46199</v>
      </c>
      <c r="B58" s="8" t="str">
        <f aca="false">TEXT(A58,"dddd")</f>
        <v>Friday</v>
      </c>
      <c r="C58" s="10" t="n">
        <f aca="false">A58-WEEKDAY(A58,2)+1</f>
        <v>46195</v>
      </c>
      <c r="D58" s="14" t="n">
        <v>1320</v>
      </c>
      <c r="E58" s="15" t="n">
        <v>32</v>
      </c>
      <c r="F58" s="15" t="n">
        <v>47</v>
      </c>
      <c r="G58" s="16" t="n">
        <f aca="false">IF(E58=0,0,D58/E58)</f>
        <v>41.25</v>
      </c>
    </row>
    <row r="59" customFormat="false" ht="15" hidden="false" customHeight="false" outlineLevel="0" collapsed="false">
      <c r="A59" s="9" t="n">
        <v>46200</v>
      </c>
      <c r="B59" s="8" t="str">
        <f aca="false">TEXT(A59,"dddd")</f>
        <v>Saturday</v>
      </c>
      <c r="C59" s="10" t="n">
        <f aca="false">A59-WEEKDAY(A59,2)+1</f>
        <v>46195</v>
      </c>
      <c r="D59" s="14" t="n">
        <v>1486.27</v>
      </c>
      <c r="E59" s="15" t="n">
        <v>38</v>
      </c>
      <c r="F59" s="15" t="n">
        <v>59</v>
      </c>
      <c r="G59" s="16" t="n">
        <f aca="false">IF(E59=0,0,D59/E59)</f>
        <v>39.1123684210526</v>
      </c>
    </row>
    <row r="60" customFormat="false" ht="15" hidden="false" customHeight="false" outlineLevel="0" collapsed="false">
      <c r="A60" s="9" t="n">
        <v>46201</v>
      </c>
      <c r="B60" s="8" t="str">
        <f aca="false">TEXT(A60,"dddd")</f>
        <v>Sunday</v>
      </c>
      <c r="C60" s="10" t="n">
        <f aca="false">A60-WEEKDAY(A60,2)+1</f>
        <v>46195</v>
      </c>
      <c r="D60" s="14" t="n">
        <v>955.33</v>
      </c>
      <c r="E60" s="15" t="n">
        <v>26</v>
      </c>
      <c r="F60" s="15" t="n">
        <v>46</v>
      </c>
      <c r="G60" s="16" t="n">
        <f aca="false">IF(E60=0,0,D60/E60)</f>
        <v>36.7434615384615</v>
      </c>
    </row>
    <row r="61" customFormat="false" ht="15" hidden="false" customHeight="false" outlineLevel="0" collapsed="false">
      <c r="A61" s="9" t="n">
        <v>46202</v>
      </c>
      <c r="B61" s="8" t="str">
        <f aca="false">TEXT(A61,"dddd")</f>
        <v>Monday</v>
      </c>
      <c r="C61" s="10" t="n">
        <f aca="false">A61-WEEKDAY(A61,2)+1</f>
        <v>46202</v>
      </c>
      <c r="D61" s="14" t="n">
        <v>798.4</v>
      </c>
      <c r="E61" s="15" t="n">
        <v>19</v>
      </c>
      <c r="F61" s="15" t="n">
        <v>30</v>
      </c>
      <c r="G61" s="16" t="n">
        <f aca="false">IF(E61=0,0,D61/E61)</f>
        <v>42.021052631579</v>
      </c>
    </row>
    <row r="62" customFormat="false" ht="15" hidden="false" customHeight="false" outlineLevel="0" collapsed="false">
      <c r="A62" s="9" t="n">
        <v>46203</v>
      </c>
      <c r="B62" s="8" t="str">
        <f aca="false">TEXT(A62,"dddd")</f>
        <v>Tuesday</v>
      </c>
      <c r="C62" s="10" t="n">
        <f aca="false">A62-WEEKDAY(A62,2)+1</f>
        <v>46202</v>
      </c>
      <c r="D62" s="14" t="n">
        <v>666.78</v>
      </c>
      <c r="E62" s="15" t="n">
        <v>17</v>
      </c>
      <c r="F62" s="15" t="n">
        <v>28</v>
      </c>
      <c r="G62" s="16" t="n">
        <f aca="false">IF(E62=0,0,D62/E62)</f>
        <v>39.2223529411765</v>
      </c>
    </row>
    <row r="63" customFormat="false" ht="15" hidden="false" customHeight="false" outlineLevel="0" collapsed="false">
      <c r="A63" s="9" t="n">
        <v>46204</v>
      </c>
      <c r="B63" s="8" t="str">
        <f aca="false">TEXT(A63,"dddd")</f>
        <v>Wednesday</v>
      </c>
      <c r="C63" s="10" t="n">
        <f aca="false">A63-WEEKDAY(A63,2)+1</f>
        <v>46202</v>
      </c>
      <c r="D63" s="14" t="n">
        <v>768.93</v>
      </c>
      <c r="E63" s="15" t="n">
        <v>19</v>
      </c>
      <c r="F63" s="15" t="n">
        <v>30</v>
      </c>
      <c r="G63" s="16" t="n">
        <f aca="false">IF(E63=0,0,D63/E63)</f>
        <v>40.47</v>
      </c>
    </row>
    <row r="64" customFormat="false" ht="15" hidden="false" customHeight="false" outlineLevel="0" collapsed="false">
      <c r="A64" s="9" t="n">
        <v>46205</v>
      </c>
      <c r="B64" s="8" t="str">
        <f aca="false">TEXT(A64,"dddd")</f>
        <v>Thursday</v>
      </c>
      <c r="C64" s="10" t="n">
        <f aca="false">A64-WEEKDAY(A64,2)+1</f>
        <v>46202</v>
      </c>
      <c r="D64" s="14" t="n">
        <v>1084.54</v>
      </c>
      <c r="E64" s="15" t="n">
        <v>25</v>
      </c>
      <c r="F64" s="15" t="n">
        <v>41</v>
      </c>
      <c r="G64" s="16" t="n">
        <f aca="false">IF(E64=0,0,D64/E64)</f>
        <v>43.3816</v>
      </c>
    </row>
    <row r="65" customFormat="false" ht="15" hidden="false" customHeight="false" outlineLevel="0" collapsed="false">
      <c r="A65" s="9" t="n">
        <v>46206</v>
      </c>
      <c r="B65" s="8" t="str">
        <f aca="false">TEXT(A65,"dddd")</f>
        <v>Friday</v>
      </c>
      <c r="C65" s="10" t="n">
        <f aca="false">A65-WEEKDAY(A65,2)+1</f>
        <v>46202</v>
      </c>
      <c r="D65" s="14" t="n">
        <v>1121.06</v>
      </c>
      <c r="E65" s="15" t="n">
        <v>31</v>
      </c>
      <c r="F65" s="15" t="n">
        <v>54</v>
      </c>
      <c r="G65" s="16" t="n">
        <f aca="false">IF(E65=0,0,D65/E65)</f>
        <v>36.1632258064516</v>
      </c>
    </row>
    <row r="66" customFormat="false" ht="15" hidden="false" customHeight="false" outlineLevel="0" collapsed="false">
      <c r="A66" s="9" t="n">
        <v>46207</v>
      </c>
      <c r="B66" s="8" t="str">
        <f aca="false">TEXT(A66,"dddd")</f>
        <v>Saturday</v>
      </c>
      <c r="C66" s="10" t="n">
        <f aca="false">A66-WEEKDAY(A66,2)+1</f>
        <v>46202</v>
      </c>
      <c r="D66" s="14" t="n">
        <v>1579.79</v>
      </c>
      <c r="E66" s="15" t="n">
        <v>39</v>
      </c>
      <c r="F66" s="15" t="n">
        <v>65</v>
      </c>
      <c r="G66" s="16" t="n">
        <f aca="false">IF(E66=0,0,D66/E66)</f>
        <v>40.5074358974359</v>
      </c>
    </row>
    <row r="67" customFormat="false" ht="15" hidden="false" customHeight="false" outlineLevel="0" collapsed="false">
      <c r="A67" s="9" t="n">
        <v>46208</v>
      </c>
      <c r="B67" s="8" t="str">
        <f aca="false">TEXT(A67,"dddd")</f>
        <v>Sunday</v>
      </c>
      <c r="C67" s="10" t="n">
        <f aca="false">A67-WEEKDAY(A67,2)+1</f>
        <v>46202</v>
      </c>
      <c r="D67" s="14" t="n">
        <v>1405.09</v>
      </c>
      <c r="E67" s="15" t="n">
        <v>32</v>
      </c>
      <c r="F67" s="15" t="n">
        <v>55</v>
      </c>
      <c r="G67" s="16" t="n">
        <f aca="false">IF(E67=0,0,D67/E67)</f>
        <v>43.9090625</v>
      </c>
    </row>
    <row r="68" customFormat="false" ht="15" hidden="false" customHeight="false" outlineLevel="0" collapsed="false">
      <c r="A68" s="9" t="n">
        <v>46209</v>
      </c>
      <c r="B68" s="8" t="str">
        <f aca="false">TEXT(A68,"dddd")</f>
        <v>Monday</v>
      </c>
      <c r="C68" s="10" t="n">
        <f aca="false">A68-WEEKDAY(A68,2)+1</f>
        <v>46209</v>
      </c>
      <c r="D68" s="14" t="n">
        <v>879.75</v>
      </c>
      <c r="E68" s="15" t="n">
        <v>19</v>
      </c>
      <c r="F68" s="15" t="n">
        <v>26</v>
      </c>
      <c r="G68" s="16" t="n">
        <f aca="false">IF(E68=0,0,D68/E68)</f>
        <v>46.3026315789474</v>
      </c>
    </row>
    <row r="69" customFormat="false" ht="15" hidden="false" customHeight="false" outlineLevel="0" collapsed="false">
      <c r="A69" s="9" t="n">
        <v>46210</v>
      </c>
      <c r="B69" s="8" t="str">
        <f aca="false">TEXT(A69,"dddd")</f>
        <v>Tuesday</v>
      </c>
      <c r="C69" s="10" t="n">
        <f aca="false">A69-WEEKDAY(A69,2)+1</f>
        <v>46209</v>
      </c>
      <c r="D69" s="14" t="n">
        <v>897.3</v>
      </c>
      <c r="E69" s="15" t="n">
        <v>21</v>
      </c>
      <c r="F69" s="15" t="n">
        <v>36</v>
      </c>
      <c r="G69" s="16" t="n">
        <f aca="false">IF(E69=0,0,D69/E69)</f>
        <v>42.7285714285714</v>
      </c>
    </row>
    <row r="70" customFormat="false" ht="15" hidden="false" customHeight="false" outlineLevel="0" collapsed="false">
      <c r="A70" s="9" t="n">
        <v>46211</v>
      </c>
      <c r="B70" s="8" t="str">
        <f aca="false">TEXT(A70,"dddd")</f>
        <v>Wednesday</v>
      </c>
      <c r="C70" s="10" t="n">
        <f aca="false">A70-WEEKDAY(A70,2)+1</f>
        <v>46209</v>
      </c>
      <c r="D70" s="14" t="n">
        <v>1154.89</v>
      </c>
      <c r="E70" s="15" t="n">
        <v>25</v>
      </c>
      <c r="F70" s="15" t="n">
        <v>35</v>
      </c>
      <c r="G70" s="16" t="n">
        <f aca="false">IF(E70=0,0,D70/E70)</f>
        <v>46.1956</v>
      </c>
    </row>
    <row r="71" customFormat="false" ht="15" hidden="false" customHeight="false" outlineLevel="0" collapsed="false">
      <c r="A71" s="9" t="n">
        <v>46212</v>
      </c>
      <c r="B71" s="8" t="str">
        <f aca="false">TEXT(A71,"dddd")</f>
        <v>Thursday</v>
      </c>
      <c r="C71" s="10" t="n">
        <f aca="false">A71-WEEKDAY(A71,2)+1</f>
        <v>46209</v>
      </c>
      <c r="D71" s="14" t="n">
        <v>701.75</v>
      </c>
      <c r="E71" s="15" t="n">
        <v>16</v>
      </c>
      <c r="F71" s="15" t="n">
        <v>23</v>
      </c>
      <c r="G71" s="16" t="n">
        <f aca="false">IF(E71=0,0,D71/E71)</f>
        <v>43.859375</v>
      </c>
    </row>
    <row r="72" customFormat="false" ht="15" hidden="false" customHeight="false" outlineLevel="0" collapsed="false">
      <c r="A72" s="9" t="n">
        <v>46213</v>
      </c>
      <c r="B72" s="8" t="str">
        <f aca="false">TEXT(A72,"dddd")</f>
        <v>Friday</v>
      </c>
      <c r="C72" s="10" t="n">
        <f aca="false">A72-WEEKDAY(A72,2)+1</f>
        <v>46209</v>
      </c>
      <c r="D72" s="14" t="n">
        <v>1406.05</v>
      </c>
      <c r="E72" s="15" t="n">
        <v>32</v>
      </c>
      <c r="F72" s="15" t="n">
        <v>43</v>
      </c>
      <c r="G72" s="16" t="n">
        <f aca="false">IF(E72=0,0,D72/E72)</f>
        <v>43.9390625</v>
      </c>
    </row>
    <row r="73" customFormat="false" ht="15" hidden="false" customHeight="false" outlineLevel="0" collapsed="false">
      <c r="A73" s="9" t="n">
        <v>46214</v>
      </c>
      <c r="B73" s="8" t="str">
        <f aca="false">TEXT(A73,"dddd")</f>
        <v>Saturday</v>
      </c>
      <c r="C73" s="10" t="n">
        <f aca="false">A73-WEEKDAY(A73,2)+1</f>
        <v>46209</v>
      </c>
      <c r="D73" s="14" t="n">
        <v>1257.23</v>
      </c>
      <c r="E73" s="15" t="n">
        <v>30</v>
      </c>
      <c r="F73" s="15" t="n">
        <v>48</v>
      </c>
      <c r="G73" s="16" t="n">
        <f aca="false">IF(E73=0,0,D73/E73)</f>
        <v>41.9076666666667</v>
      </c>
    </row>
    <row r="74" customFormat="false" ht="15" hidden="false" customHeight="false" outlineLevel="0" collapsed="false">
      <c r="A74" s="9" t="n">
        <v>46215</v>
      </c>
      <c r="B74" s="8" t="str">
        <f aca="false">TEXT(A74,"dddd")</f>
        <v>Sunday</v>
      </c>
      <c r="C74" s="10" t="n">
        <f aca="false">A74-WEEKDAY(A74,2)+1</f>
        <v>46209</v>
      </c>
      <c r="D74" s="14" t="n">
        <v>1192.91</v>
      </c>
      <c r="E74" s="15" t="n">
        <v>29</v>
      </c>
      <c r="F74" s="15" t="n">
        <v>42</v>
      </c>
      <c r="G74" s="16" t="n">
        <f aca="false">IF(E74=0,0,D74/E74)</f>
        <v>41.1348275862069</v>
      </c>
    </row>
    <row r="75" customFormat="false" ht="15" hidden="false" customHeight="false" outlineLevel="0" collapsed="false">
      <c r="A75" s="9" t="n">
        <v>46216</v>
      </c>
      <c r="B75" s="8" t="str">
        <f aca="false">TEXT(A75,"dddd")</f>
        <v>Monday</v>
      </c>
      <c r="C75" s="10" t="n">
        <f aca="false">A75-WEEKDAY(A75,2)+1</f>
        <v>46216</v>
      </c>
      <c r="D75" s="14" t="n">
        <v>646.67</v>
      </c>
      <c r="E75" s="15" t="n">
        <v>16</v>
      </c>
      <c r="F75" s="15" t="n">
        <v>23</v>
      </c>
      <c r="G75" s="16" t="n">
        <f aca="false">IF(E75=0,0,D75/E75)</f>
        <v>40.416875</v>
      </c>
    </row>
    <row r="76" customFormat="false" ht="15" hidden="false" customHeight="false" outlineLevel="0" collapsed="false">
      <c r="A76" s="9" t="n">
        <v>46217</v>
      </c>
      <c r="B76" s="8" t="str">
        <f aca="false">TEXT(A76,"dddd")</f>
        <v>Tuesday</v>
      </c>
      <c r="C76" s="10" t="n">
        <f aca="false">A76-WEEKDAY(A76,2)+1</f>
        <v>46216</v>
      </c>
      <c r="D76" s="14" t="n">
        <v>598.78</v>
      </c>
      <c r="E76" s="15" t="n">
        <v>14</v>
      </c>
      <c r="F76" s="15" t="n">
        <v>22</v>
      </c>
      <c r="G76" s="16" t="n">
        <f aca="false">IF(E76=0,0,D76/E76)</f>
        <v>42.77</v>
      </c>
    </row>
    <row r="77" customFormat="false" ht="15" hidden="false" customHeight="false" outlineLevel="0" collapsed="false">
      <c r="A77" s="9" t="n">
        <v>46218</v>
      </c>
      <c r="B77" s="8" t="str">
        <f aca="false">TEXT(A77,"dddd")</f>
        <v>Wednesday</v>
      </c>
      <c r="C77" s="10" t="n">
        <f aca="false">A77-WEEKDAY(A77,2)+1</f>
        <v>46216</v>
      </c>
      <c r="D77" s="14" t="n">
        <v>788.29</v>
      </c>
      <c r="E77" s="15" t="n">
        <v>21</v>
      </c>
      <c r="F77" s="15" t="n">
        <v>31</v>
      </c>
      <c r="G77" s="16" t="n">
        <f aca="false">IF(E77=0,0,D77/E77)</f>
        <v>37.537619047619</v>
      </c>
    </row>
    <row r="78" customFormat="false" ht="15" hidden="false" customHeight="false" outlineLevel="0" collapsed="false">
      <c r="A78" s="9" t="n">
        <v>46219</v>
      </c>
      <c r="B78" s="8" t="str">
        <f aca="false">TEXT(A78,"dddd")</f>
        <v>Thursday</v>
      </c>
      <c r="C78" s="10" t="n">
        <f aca="false">A78-WEEKDAY(A78,2)+1</f>
        <v>46216</v>
      </c>
      <c r="D78" s="14" t="n">
        <v>720.04</v>
      </c>
      <c r="E78" s="15" t="n">
        <v>19</v>
      </c>
      <c r="F78" s="15" t="n">
        <v>30</v>
      </c>
      <c r="G78" s="16" t="n">
        <f aca="false">IF(E78=0,0,D78/E78)</f>
        <v>37.8968421052632</v>
      </c>
    </row>
    <row r="79" customFormat="false" ht="15" hidden="false" customHeight="false" outlineLevel="0" collapsed="false">
      <c r="A79" s="9" t="n">
        <v>46220</v>
      </c>
      <c r="B79" s="8" t="str">
        <f aca="false">TEXT(A79,"dddd")</f>
        <v>Friday</v>
      </c>
      <c r="C79" s="10" t="n">
        <f aca="false">A79-WEEKDAY(A79,2)+1</f>
        <v>46216</v>
      </c>
      <c r="D79" s="14" t="n">
        <v>1267.39</v>
      </c>
      <c r="E79" s="15" t="n">
        <v>30</v>
      </c>
      <c r="F79" s="15" t="n">
        <v>49</v>
      </c>
      <c r="G79" s="16" t="n">
        <f aca="false">IF(E79=0,0,D79/E79)</f>
        <v>42.2463333333333</v>
      </c>
    </row>
    <row r="80" customFormat="false" ht="15" hidden="false" customHeight="false" outlineLevel="0" collapsed="false">
      <c r="A80" s="9" t="n">
        <v>46221</v>
      </c>
      <c r="B80" s="8" t="str">
        <f aca="false">TEXT(A80,"dddd")</f>
        <v>Saturday</v>
      </c>
      <c r="C80" s="10" t="n">
        <f aca="false">A80-WEEKDAY(A80,2)+1</f>
        <v>46216</v>
      </c>
      <c r="D80" s="14" t="n">
        <v>1553.39</v>
      </c>
      <c r="E80" s="15" t="n">
        <v>43</v>
      </c>
      <c r="F80" s="15" t="n">
        <v>74</v>
      </c>
      <c r="G80" s="16" t="n">
        <f aca="false">IF(E80=0,0,D80/E80)</f>
        <v>36.1253488372093</v>
      </c>
    </row>
    <row r="81" customFormat="false" ht="15" hidden="false" customHeight="false" outlineLevel="0" collapsed="false">
      <c r="A81" s="9" t="n">
        <v>46222</v>
      </c>
      <c r="B81" s="8" t="str">
        <f aca="false">TEXT(A81,"dddd")</f>
        <v>Sunday</v>
      </c>
      <c r="C81" s="10" t="n">
        <f aca="false">A81-WEEKDAY(A81,2)+1</f>
        <v>46216</v>
      </c>
      <c r="D81" s="14" t="n">
        <v>1187.58</v>
      </c>
      <c r="E81" s="15" t="n">
        <v>29</v>
      </c>
      <c r="F81" s="15" t="n">
        <v>40</v>
      </c>
      <c r="G81" s="16" t="n">
        <f aca="false">IF(E81=0,0,D81/E81)</f>
        <v>40.9510344827586</v>
      </c>
    </row>
    <row r="82" customFormat="false" ht="15" hidden="false" customHeight="false" outlineLevel="0" collapsed="false">
      <c r="A82" s="9" t="n">
        <v>46223</v>
      </c>
      <c r="B82" s="8" t="str">
        <f aca="false">TEXT(A82,"dddd")</f>
        <v>Monday</v>
      </c>
      <c r="C82" s="10" t="n">
        <f aca="false">A82-WEEKDAY(A82,2)+1</f>
        <v>46223</v>
      </c>
      <c r="D82" s="14" t="n">
        <v>828.42</v>
      </c>
      <c r="E82" s="15" t="n">
        <v>19</v>
      </c>
      <c r="F82" s="15" t="n">
        <v>30</v>
      </c>
      <c r="G82" s="16" t="n">
        <f aca="false">IF(E82=0,0,D82/E82)</f>
        <v>43.6010526315789</v>
      </c>
    </row>
    <row r="83" customFormat="false" ht="15" hidden="false" customHeight="false" outlineLevel="0" collapsed="false">
      <c r="A83" s="9" t="n">
        <v>46224</v>
      </c>
      <c r="B83" s="8" t="str">
        <f aca="false">TEXT(A83,"dddd")</f>
        <v>Tuesday</v>
      </c>
      <c r="C83" s="10" t="n">
        <f aca="false">A83-WEEKDAY(A83,2)+1</f>
        <v>46223</v>
      </c>
      <c r="D83" s="14" t="n">
        <v>759.67</v>
      </c>
      <c r="E83" s="15" t="n">
        <v>19</v>
      </c>
      <c r="F83" s="15" t="n">
        <v>33</v>
      </c>
      <c r="G83" s="16" t="n">
        <f aca="false">IF(E83=0,0,D83/E83)</f>
        <v>39.9826315789474</v>
      </c>
    </row>
    <row r="84" customFormat="false" ht="15" hidden="false" customHeight="false" outlineLevel="0" collapsed="false">
      <c r="A84" s="9" t="n">
        <v>46225</v>
      </c>
      <c r="B84" s="8" t="str">
        <f aca="false">TEXT(A84,"dddd")</f>
        <v>Wednesday</v>
      </c>
      <c r="C84" s="10" t="n">
        <f aca="false">A84-WEEKDAY(A84,2)+1</f>
        <v>46223</v>
      </c>
      <c r="D84" s="14" t="n">
        <v>632.67</v>
      </c>
      <c r="E84" s="15" t="n">
        <v>19</v>
      </c>
      <c r="F84" s="15" t="n">
        <v>28</v>
      </c>
      <c r="G84" s="16" t="n">
        <f aca="false">IF(E84=0,0,D84/E84)</f>
        <v>33.2984210526316</v>
      </c>
    </row>
    <row r="85" customFormat="false" ht="15" hidden="false" customHeight="false" outlineLevel="0" collapsed="false">
      <c r="A85" s="9" t="n">
        <v>46226</v>
      </c>
      <c r="B85" s="8" t="str">
        <f aca="false">TEXT(A85,"dddd")</f>
        <v>Thursday</v>
      </c>
      <c r="C85" s="10" t="n">
        <f aca="false">A85-WEEKDAY(A85,2)+1</f>
        <v>46223</v>
      </c>
      <c r="D85" s="14" t="n">
        <v>473.92</v>
      </c>
      <c r="E85" s="15" t="n">
        <v>16</v>
      </c>
      <c r="F85" s="15" t="n">
        <v>24</v>
      </c>
      <c r="G85" s="16" t="n">
        <f aca="false">IF(E85=0,0,D85/E85)</f>
        <v>29.62</v>
      </c>
    </row>
    <row r="86" customFormat="false" ht="15" hidden="false" customHeight="false" outlineLevel="0" collapsed="false">
      <c r="A86" s="9" t="n">
        <v>46227</v>
      </c>
      <c r="B86" s="8" t="str">
        <f aca="false">TEXT(A86,"dddd")</f>
        <v>Friday</v>
      </c>
      <c r="C86" s="10" t="n">
        <f aca="false">A86-WEEKDAY(A86,2)+1</f>
        <v>46223</v>
      </c>
      <c r="D86" s="14" t="n">
        <v>1523.1</v>
      </c>
      <c r="E86" s="15" t="n">
        <v>37</v>
      </c>
      <c r="F86" s="15" t="n">
        <v>52</v>
      </c>
      <c r="G86" s="16" t="n">
        <f aca="false">IF(E86=0,0,D86/E86)</f>
        <v>41.1648648648649</v>
      </c>
    </row>
    <row r="87" customFormat="false" ht="15" hidden="false" customHeight="false" outlineLevel="0" collapsed="false">
      <c r="A87" s="9" t="n">
        <v>46228</v>
      </c>
      <c r="B87" s="8" t="str">
        <f aca="false">TEXT(A87,"dddd")</f>
        <v>Saturday</v>
      </c>
      <c r="C87" s="10" t="n">
        <f aca="false">A87-WEEKDAY(A87,2)+1</f>
        <v>46223</v>
      </c>
      <c r="D87" s="14" t="n">
        <v>1528.54</v>
      </c>
      <c r="E87" s="15" t="n">
        <v>34</v>
      </c>
      <c r="F87" s="15" t="n">
        <v>55</v>
      </c>
      <c r="G87" s="16" t="n">
        <f aca="false">IF(E87=0,0,D87/E87)</f>
        <v>44.9570588235294</v>
      </c>
    </row>
    <row r="88" customFormat="false" ht="15" hidden="false" customHeight="false" outlineLevel="0" collapsed="false">
      <c r="A88" s="9" t="n">
        <v>46229</v>
      </c>
      <c r="B88" s="8" t="str">
        <f aca="false">TEXT(A88,"dddd")</f>
        <v>Sunday</v>
      </c>
      <c r="C88" s="10" t="n">
        <f aca="false">A88-WEEKDAY(A88,2)+1</f>
        <v>46223</v>
      </c>
      <c r="D88" s="14" t="n">
        <v>1224.39</v>
      </c>
      <c r="E88" s="15" t="n">
        <v>30</v>
      </c>
      <c r="F88" s="15" t="n">
        <v>48</v>
      </c>
      <c r="G88" s="16" t="n">
        <f aca="false">IF(E88=0,0,D88/E88)</f>
        <v>40.813</v>
      </c>
    </row>
    <row r="89" customFormat="false" ht="15" hidden="false" customHeight="false" outlineLevel="0" collapsed="false">
      <c r="A89" s="9" t="n">
        <v>46230</v>
      </c>
      <c r="B89" s="8" t="str">
        <f aca="false">TEXT(A89,"dddd")</f>
        <v>Monday</v>
      </c>
      <c r="C89" s="10" t="n">
        <f aca="false">A89-WEEKDAY(A89,2)+1</f>
        <v>46230</v>
      </c>
      <c r="D89" s="14" t="n">
        <v>987.48</v>
      </c>
      <c r="E89" s="15" t="n">
        <v>23</v>
      </c>
      <c r="F89" s="15" t="n">
        <v>37</v>
      </c>
      <c r="G89" s="16" t="n">
        <f aca="false">IF(E89=0,0,D89/E89)</f>
        <v>42.9339130434783</v>
      </c>
    </row>
    <row r="90" customFormat="false" ht="15" hidden="false" customHeight="false" outlineLevel="0" collapsed="false">
      <c r="A90" s="9" t="n">
        <v>46231</v>
      </c>
      <c r="B90" s="8" t="str">
        <f aca="false">TEXT(A90,"dddd")</f>
        <v>Tuesday</v>
      </c>
      <c r="C90" s="10" t="n">
        <f aca="false">A90-WEEKDAY(A90,2)+1</f>
        <v>46230</v>
      </c>
      <c r="D90" s="14" t="n">
        <v>641.83</v>
      </c>
      <c r="E90" s="15" t="n">
        <v>15</v>
      </c>
      <c r="F90" s="15" t="n">
        <v>22</v>
      </c>
      <c r="G90" s="16" t="n">
        <f aca="false">IF(E90=0,0,D90/E90)</f>
        <v>42.7886666666667</v>
      </c>
    </row>
    <row r="91" customFormat="false" ht="15" hidden="false" customHeight="false" outlineLevel="0" collapsed="false">
      <c r="A91" s="9" t="n">
        <v>46232</v>
      </c>
      <c r="B91" s="8" t="str">
        <f aca="false">TEXT(A91,"dddd")</f>
        <v>Wednesday</v>
      </c>
      <c r="C91" s="10" t="n">
        <f aca="false">A91-WEEKDAY(A91,2)+1</f>
        <v>46230</v>
      </c>
      <c r="D91" s="14" t="n">
        <v>840.68</v>
      </c>
      <c r="E91" s="15" t="n">
        <v>23</v>
      </c>
      <c r="F91" s="15" t="n">
        <v>36</v>
      </c>
      <c r="G91" s="16" t="n">
        <f aca="false">IF(E91=0,0,D91/E91)</f>
        <v>36.5513043478261</v>
      </c>
    </row>
    <row r="92" customFormat="false" ht="15" hidden="false" customHeight="false" outlineLevel="0" collapsed="false">
      <c r="A92" s="9" t="n">
        <v>46233</v>
      </c>
      <c r="B92" s="8" t="str">
        <f aca="false">TEXT(A92,"dddd")</f>
        <v>Thursday</v>
      </c>
      <c r="C92" s="10" t="n">
        <f aca="false">A92-WEEKDAY(A92,2)+1</f>
        <v>46230</v>
      </c>
      <c r="D92" s="14" t="n">
        <v>763.64</v>
      </c>
      <c r="E92" s="15" t="n">
        <v>21</v>
      </c>
      <c r="F92" s="15" t="n">
        <v>39</v>
      </c>
      <c r="G92" s="16" t="n">
        <f aca="false">IF(E92=0,0,D92/E92)</f>
        <v>36.3638095238095</v>
      </c>
    </row>
    <row r="93" customFormat="false" ht="15" hidden="false" customHeight="false" outlineLevel="0" collapsed="false">
      <c r="A93" s="9" t="n">
        <v>46234</v>
      </c>
      <c r="B93" s="8" t="str">
        <f aca="false">TEXT(A93,"dddd")</f>
        <v>Friday</v>
      </c>
      <c r="C93" s="10" t="n">
        <f aca="false">A93-WEEKDAY(A93,2)+1</f>
        <v>46230</v>
      </c>
      <c r="D93" s="14" t="n">
        <v>1456.97</v>
      </c>
      <c r="E93" s="15" t="n">
        <v>37</v>
      </c>
      <c r="F93" s="15" t="n">
        <v>63</v>
      </c>
      <c r="G93" s="16" t="n">
        <f aca="false">IF(E93=0,0,D93/E93)</f>
        <v>39.3775675675676</v>
      </c>
    </row>
    <row r="94" customFormat="false" ht="15" hidden="false" customHeight="false" outlineLevel="0" collapsed="false">
      <c r="A94" s="9" t="n">
        <v>46235</v>
      </c>
      <c r="B94" s="8" t="str">
        <f aca="false">TEXT(A94,"dddd")</f>
        <v>Saturday</v>
      </c>
      <c r="C94" s="10" t="n">
        <f aca="false">A94-WEEKDAY(A94,2)+1</f>
        <v>46230</v>
      </c>
      <c r="D94" s="14" t="n">
        <v>1210.4</v>
      </c>
      <c r="E94" s="15" t="n">
        <v>38</v>
      </c>
      <c r="F94" s="15" t="n">
        <v>62</v>
      </c>
      <c r="G94" s="16" t="n">
        <f aca="false">IF(E94=0,0,D94/E94)</f>
        <v>31.8526315789474</v>
      </c>
    </row>
    <row r="95" customFormat="false" ht="15" hidden="false" customHeight="false" outlineLevel="0" collapsed="false">
      <c r="A95" s="9" t="n">
        <v>46236</v>
      </c>
      <c r="B95" s="8" t="str">
        <f aca="false">TEXT(A95,"dddd")</f>
        <v>Sunday</v>
      </c>
      <c r="C95" s="10" t="n">
        <f aca="false">A95-WEEKDAY(A95,2)+1</f>
        <v>46230</v>
      </c>
      <c r="D95" s="14" t="n">
        <v>1197.45</v>
      </c>
      <c r="E95" s="15" t="n">
        <v>29</v>
      </c>
      <c r="F95" s="15" t="n">
        <v>41</v>
      </c>
      <c r="G95" s="16" t="n">
        <f aca="false">IF(E95=0,0,D95/E95)</f>
        <v>41.2913793103448</v>
      </c>
    </row>
    <row r="96" customFormat="false" ht="15" hidden="false" customHeight="false" outlineLevel="0" collapsed="false">
      <c r="A96" s="9" t="n">
        <v>46237</v>
      </c>
      <c r="B96" s="8" t="str">
        <f aca="false">TEXT(A96,"dddd")</f>
        <v>Monday</v>
      </c>
      <c r="C96" s="10" t="n">
        <f aca="false">A96-WEEKDAY(A96,2)+1</f>
        <v>46237</v>
      </c>
      <c r="D96" s="14" t="n">
        <v>807.52</v>
      </c>
      <c r="E96" s="15" t="n">
        <v>20</v>
      </c>
      <c r="F96" s="15" t="n">
        <v>35</v>
      </c>
      <c r="G96" s="16" t="n">
        <f aca="false">IF(E96=0,0,D96/E96)</f>
        <v>40.376</v>
      </c>
    </row>
    <row r="97" customFormat="false" ht="15" hidden="false" customHeight="false" outlineLevel="0" collapsed="false">
      <c r="A97" s="9" t="n">
        <v>46238</v>
      </c>
      <c r="B97" s="8" t="str">
        <f aca="false">TEXT(A97,"dddd")</f>
        <v>Tuesday</v>
      </c>
      <c r="C97" s="10" t="n">
        <f aca="false">A97-WEEKDAY(A97,2)+1</f>
        <v>46237</v>
      </c>
      <c r="D97" s="14" t="n">
        <v>819.61</v>
      </c>
      <c r="E97" s="15" t="n">
        <v>20</v>
      </c>
      <c r="F97" s="15" t="n">
        <v>36</v>
      </c>
      <c r="G97" s="16" t="n">
        <f aca="false">IF(E97=0,0,D97/E97)</f>
        <v>40.9805</v>
      </c>
    </row>
    <row r="98" customFormat="false" ht="15" hidden="false" customHeight="false" outlineLevel="0" collapsed="false">
      <c r="A98" s="9" t="n">
        <v>46239</v>
      </c>
      <c r="B98" s="8" t="str">
        <f aca="false">TEXT(A98,"dddd")</f>
        <v>Wednesday</v>
      </c>
      <c r="C98" s="10" t="n">
        <f aca="false">A98-WEEKDAY(A98,2)+1</f>
        <v>46237</v>
      </c>
      <c r="D98" s="14" t="n">
        <v>713.47</v>
      </c>
      <c r="E98" s="15" t="n">
        <v>18</v>
      </c>
      <c r="F98" s="15" t="n">
        <v>23</v>
      </c>
      <c r="G98" s="16" t="n">
        <f aca="false">IF(E98=0,0,D98/E98)</f>
        <v>39.6372222222222</v>
      </c>
    </row>
    <row r="99" customFormat="false" ht="15" hidden="false" customHeight="false" outlineLevel="0" collapsed="false">
      <c r="A99" s="9" t="n">
        <v>46240</v>
      </c>
      <c r="B99" s="8" t="str">
        <f aca="false">TEXT(A99,"dddd")</f>
        <v>Thursday</v>
      </c>
      <c r="C99" s="10" t="n">
        <f aca="false">A99-WEEKDAY(A99,2)+1</f>
        <v>46237</v>
      </c>
      <c r="D99" s="14" t="n">
        <v>1153.75</v>
      </c>
      <c r="E99" s="15" t="n">
        <v>26</v>
      </c>
      <c r="F99" s="15" t="n">
        <v>45</v>
      </c>
      <c r="G99" s="16" t="n">
        <f aca="false">IF(E99=0,0,D99/E99)</f>
        <v>44.375</v>
      </c>
    </row>
    <row r="100" customFormat="false" ht="15" hidden="false" customHeight="false" outlineLevel="0" collapsed="false">
      <c r="A100" s="9" t="n">
        <v>46241</v>
      </c>
      <c r="B100" s="8" t="str">
        <f aca="false">TEXT(A100,"dddd")</f>
        <v>Friday</v>
      </c>
      <c r="C100" s="10" t="n">
        <f aca="false">A100-WEEKDAY(A100,2)+1</f>
        <v>46237</v>
      </c>
      <c r="D100" s="14" t="n">
        <v>1448.49</v>
      </c>
      <c r="E100" s="15" t="n">
        <v>35</v>
      </c>
      <c r="F100" s="15" t="n">
        <v>57</v>
      </c>
      <c r="G100" s="16" t="n">
        <f aca="false">IF(E100=0,0,D100/E100)</f>
        <v>41.3854285714286</v>
      </c>
    </row>
    <row r="101" customFormat="false" ht="15" hidden="false" customHeight="false" outlineLevel="0" collapsed="false">
      <c r="A101" s="9" t="n">
        <v>46242</v>
      </c>
      <c r="B101" s="8" t="str">
        <f aca="false">TEXT(A101,"dddd")</f>
        <v>Saturday</v>
      </c>
      <c r="C101" s="10" t="n">
        <f aca="false">A101-WEEKDAY(A101,2)+1</f>
        <v>46237</v>
      </c>
      <c r="D101" s="14" t="n">
        <v>1450.35</v>
      </c>
      <c r="E101" s="15" t="n">
        <v>36</v>
      </c>
      <c r="F101" s="15" t="n">
        <v>57</v>
      </c>
      <c r="G101" s="16" t="n">
        <f aca="false">IF(E101=0,0,D101/E101)</f>
        <v>40.2875</v>
      </c>
    </row>
    <row r="102" customFormat="false" ht="15" hidden="false" customHeight="false" outlineLevel="0" collapsed="false">
      <c r="A102" s="9" t="n">
        <v>46243</v>
      </c>
      <c r="B102" s="8" t="str">
        <f aca="false">TEXT(A102,"dddd")</f>
        <v>Sunday</v>
      </c>
      <c r="C102" s="10" t="n">
        <f aca="false">A102-WEEKDAY(A102,2)+1</f>
        <v>46237</v>
      </c>
      <c r="D102" s="14" t="n">
        <v>1460.13</v>
      </c>
      <c r="E102" s="15" t="n">
        <v>34</v>
      </c>
      <c r="F102" s="15" t="n">
        <v>54</v>
      </c>
      <c r="G102" s="16" t="n">
        <f aca="false">IF(E102=0,0,D102/E102)</f>
        <v>42.945</v>
      </c>
    </row>
    <row r="103" customFormat="false" ht="15" hidden="false" customHeight="false" outlineLevel="0" collapsed="false">
      <c r="A103" s="9" t="n">
        <v>46244</v>
      </c>
      <c r="B103" s="8" t="str">
        <f aca="false">TEXT(A103,"dddd")</f>
        <v>Monday</v>
      </c>
      <c r="C103" s="10" t="n">
        <f aca="false">A103-WEEKDAY(A103,2)+1</f>
        <v>46244</v>
      </c>
      <c r="D103" s="14" t="n">
        <v>736.77</v>
      </c>
      <c r="E103" s="15" t="n">
        <v>19</v>
      </c>
      <c r="F103" s="15" t="n">
        <v>34</v>
      </c>
      <c r="G103" s="16" t="n">
        <f aca="false">IF(E103=0,0,D103/E103)</f>
        <v>38.7773684210526</v>
      </c>
    </row>
    <row r="104" customFormat="false" ht="15" hidden="false" customHeight="false" outlineLevel="0" collapsed="false">
      <c r="A104" s="9" t="n">
        <v>46245</v>
      </c>
      <c r="B104" s="8" t="str">
        <f aca="false">TEXT(A104,"dddd")</f>
        <v>Tuesday</v>
      </c>
      <c r="C104" s="10" t="n">
        <f aca="false">A104-WEEKDAY(A104,2)+1</f>
        <v>46244</v>
      </c>
      <c r="D104" s="14" t="n">
        <v>824.73</v>
      </c>
      <c r="E104" s="15" t="n">
        <v>20</v>
      </c>
      <c r="F104" s="15" t="n">
        <v>30</v>
      </c>
      <c r="G104" s="16" t="n">
        <f aca="false">IF(E104=0,0,D104/E104)</f>
        <v>41.2365</v>
      </c>
    </row>
    <row r="105" customFormat="false" ht="15" hidden="false" customHeight="false" outlineLevel="0" collapsed="false">
      <c r="A105" s="9" t="n">
        <v>46246</v>
      </c>
      <c r="B105" s="8" t="str">
        <f aca="false">TEXT(A105,"dddd")</f>
        <v>Wednesday</v>
      </c>
      <c r="C105" s="10" t="n">
        <f aca="false">A105-WEEKDAY(A105,2)+1</f>
        <v>46244</v>
      </c>
      <c r="D105" s="14" t="n">
        <v>652.26</v>
      </c>
      <c r="E105" s="15" t="n">
        <v>16</v>
      </c>
      <c r="F105" s="15" t="n">
        <v>27</v>
      </c>
      <c r="G105" s="16" t="n">
        <f aca="false">IF(E105=0,0,D105/E105)</f>
        <v>40.76625</v>
      </c>
    </row>
    <row r="106" customFormat="false" ht="15" hidden="false" customHeight="false" outlineLevel="0" collapsed="false">
      <c r="A106" s="9" t="n">
        <v>46247</v>
      </c>
      <c r="B106" s="8" t="str">
        <f aca="false">TEXT(A106,"dddd")</f>
        <v>Thursday</v>
      </c>
      <c r="C106" s="10" t="n">
        <f aca="false">A106-WEEKDAY(A106,2)+1</f>
        <v>46244</v>
      </c>
      <c r="D106" s="14" t="n">
        <v>804.09</v>
      </c>
      <c r="E106" s="15" t="n">
        <v>20</v>
      </c>
      <c r="F106" s="15" t="n">
        <v>31</v>
      </c>
      <c r="G106" s="16" t="n">
        <f aca="false">IF(E106=0,0,D106/E106)</f>
        <v>40.2045</v>
      </c>
    </row>
    <row r="107" customFormat="false" ht="15" hidden="false" customHeight="false" outlineLevel="0" collapsed="false">
      <c r="A107" s="9" t="n">
        <v>46248</v>
      </c>
      <c r="B107" s="8" t="str">
        <f aca="false">TEXT(A107,"dddd")</f>
        <v>Friday</v>
      </c>
      <c r="C107" s="10" t="n">
        <f aca="false">A107-WEEKDAY(A107,2)+1</f>
        <v>46244</v>
      </c>
      <c r="D107" s="14" t="n">
        <v>1169.01</v>
      </c>
      <c r="E107" s="15" t="n">
        <v>33</v>
      </c>
      <c r="F107" s="15" t="n">
        <v>51</v>
      </c>
      <c r="G107" s="16" t="n">
        <f aca="false">IF(E107=0,0,D107/E107)</f>
        <v>35.4245454545455</v>
      </c>
    </row>
    <row r="108" customFormat="false" ht="15" hidden="false" customHeight="false" outlineLevel="0" collapsed="false">
      <c r="A108" s="9" t="n">
        <v>46249</v>
      </c>
      <c r="B108" s="8" t="str">
        <f aca="false">TEXT(A108,"dddd")</f>
        <v>Saturday</v>
      </c>
      <c r="C108" s="10" t="n">
        <f aca="false">A108-WEEKDAY(A108,2)+1</f>
        <v>46244</v>
      </c>
      <c r="D108" s="14" t="n">
        <v>1499.27</v>
      </c>
      <c r="E108" s="15" t="n">
        <v>34</v>
      </c>
      <c r="F108" s="15" t="n">
        <v>50</v>
      </c>
      <c r="G108" s="16" t="n">
        <f aca="false">IF(E108=0,0,D108/E108)</f>
        <v>44.0961764705882</v>
      </c>
    </row>
    <row r="109" customFormat="false" ht="15" hidden="false" customHeight="false" outlineLevel="0" collapsed="false">
      <c r="A109" s="9" t="n">
        <v>46250</v>
      </c>
      <c r="B109" s="8" t="str">
        <f aca="false">TEXT(A109,"dddd")</f>
        <v>Sunday</v>
      </c>
      <c r="C109" s="10" t="n">
        <f aca="false">A109-WEEKDAY(A109,2)+1</f>
        <v>46244</v>
      </c>
      <c r="D109" s="14" t="n">
        <v>1436.4</v>
      </c>
      <c r="E109" s="15" t="n">
        <v>31</v>
      </c>
      <c r="F109" s="15" t="n">
        <v>48</v>
      </c>
      <c r="G109" s="16" t="n">
        <f aca="false">IF(E109=0,0,D109/E109)</f>
        <v>46.3354838709677</v>
      </c>
    </row>
    <row r="110" customFormat="false" ht="15" hidden="false" customHeight="false" outlineLevel="0" collapsed="false">
      <c r="A110" s="9" t="n">
        <v>46251</v>
      </c>
      <c r="B110" s="8" t="str">
        <f aca="false">TEXT(A110,"dddd")</f>
        <v>Monday</v>
      </c>
      <c r="C110" s="10" t="n">
        <f aca="false">A110-WEEKDAY(A110,2)+1</f>
        <v>46251</v>
      </c>
      <c r="D110" s="14" t="n">
        <v>791.73</v>
      </c>
      <c r="E110" s="15" t="n">
        <v>19</v>
      </c>
      <c r="F110" s="15" t="n">
        <v>30</v>
      </c>
      <c r="G110" s="16" t="n">
        <f aca="false">IF(E110=0,0,D110/E110)</f>
        <v>41.67</v>
      </c>
    </row>
    <row r="111" customFormat="false" ht="15" hidden="false" customHeight="false" outlineLevel="0" collapsed="false">
      <c r="A111" s="9" t="n">
        <v>46252</v>
      </c>
      <c r="B111" s="8" t="str">
        <f aca="false">TEXT(A111,"dddd")</f>
        <v>Tuesday</v>
      </c>
      <c r="C111" s="10" t="n">
        <f aca="false">A111-WEEKDAY(A111,2)+1</f>
        <v>46251</v>
      </c>
      <c r="D111" s="14" t="n">
        <v>681.81</v>
      </c>
      <c r="E111" s="15" t="n">
        <v>16</v>
      </c>
      <c r="F111" s="15" t="n">
        <v>30</v>
      </c>
      <c r="G111" s="16" t="n">
        <f aca="false">IF(E111=0,0,D111/E111)</f>
        <v>42.613125</v>
      </c>
    </row>
    <row r="112" customFormat="false" ht="15" hidden="false" customHeight="false" outlineLevel="0" collapsed="false">
      <c r="A112" s="9" t="n">
        <v>46253</v>
      </c>
      <c r="B112" s="8" t="str">
        <f aca="false">TEXT(A112,"dddd")</f>
        <v>Wednesday</v>
      </c>
      <c r="C112" s="10" t="n">
        <f aca="false">A112-WEEKDAY(A112,2)+1</f>
        <v>46251</v>
      </c>
      <c r="D112" s="14" t="n">
        <v>765.51</v>
      </c>
      <c r="E112" s="15" t="n">
        <v>19</v>
      </c>
      <c r="F112" s="15" t="n">
        <v>27</v>
      </c>
      <c r="G112" s="16" t="n">
        <f aca="false">IF(E112=0,0,D112/E112)</f>
        <v>40.29</v>
      </c>
    </row>
    <row r="113" customFormat="false" ht="15" hidden="false" customHeight="false" outlineLevel="0" collapsed="false">
      <c r="A113" s="9" t="n">
        <v>46254</v>
      </c>
      <c r="B113" s="8" t="str">
        <f aca="false">TEXT(A113,"dddd")</f>
        <v>Thursday</v>
      </c>
      <c r="C113" s="10" t="n">
        <f aca="false">A113-WEEKDAY(A113,2)+1</f>
        <v>46251</v>
      </c>
      <c r="D113" s="14" t="n">
        <v>805.98</v>
      </c>
      <c r="E113" s="15" t="n">
        <v>22</v>
      </c>
      <c r="F113" s="15" t="n">
        <v>31</v>
      </c>
      <c r="G113" s="16" t="n">
        <f aca="false">IF(E113=0,0,D113/E113)</f>
        <v>36.6354545454545</v>
      </c>
    </row>
    <row r="114" customFormat="false" ht="15" hidden="false" customHeight="false" outlineLevel="0" collapsed="false">
      <c r="A114" s="9" t="n">
        <v>46255</v>
      </c>
      <c r="B114" s="8" t="str">
        <f aca="false">TEXT(A114,"dddd")</f>
        <v>Friday</v>
      </c>
      <c r="C114" s="10" t="n">
        <f aca="false">A114-WEEKDAY(A114,2)+1</f>
        <v>46251</v>
      </c>
      <c r="D114" s="14" t="n">
        <v>1361.91</v>
      </c>
      <c r="E114" s="15" t="n">
        <v>36</v>
      </c>
      <c r="F114" s="15" t="n">
        <v>63</v>
      </c>
      <c r="G114" s="16" t="n">
        <f aca="false">IF(E114=0,0,D114/E114)</f>
        <v>37.8308333333333</v>
      </c>
    </row>
    <row r="115" customFormat="false" ht="15" hidden="false" customHeight="false" outlineLevel="0" collapsed="false">
      <c r="A115" s="9" t="n">
        <v>46256</v>
      </c>
      <c r="B115" s="8" t="str">
        <f aca="false">TEXT(A115,"dddd")</f>
        <v>Saturday</v>
      </c>
      <c r="C115" s="10" t="n">
        <f aca="false">A115-WEEKDAY(A115,2)+1</f>
        <v>46251</v>
      </c>
      <c r="D115" s="14" t="n">
        <v>1718.21</v>
      </c>
      <c r="E115" s="15" t="n">
        <v>41</v>
      </c>
      <c r="F115" s="15" t="n">
        <v>69</v>
      </c>
      <c r="G115" s="16" t="n">
        <f aca="false">IF(E115=0,0,D115/E115)</f>
        <v>41.9075609756098</v>
      </c>
    </row>
    <row r="116" customFormat="false" ht="15" hidden="false" customHeight="false" outlineLevel="0" collapsed="false">
      <c r="A116" s="9" t="n">
        <v>46257</v>
      </c>
      <c r="B116" s="8" t="str">
        <f aca="false">TEXT(A116,"dddd")</f>
        <v>Sunday</v>
      </c>
      <c r="C116" s="10" t="n">
        <f aca="false">A116-WEEKDAY(A116,2)+1</f>
        <v>46251</v>
      </c>
      <c r="D116" s="14" t="n">
        <v>1410.9</v>
      </c>
      <c r="E116" s="15" t="n">
        <v>35</v>
      </c>
      <c r="F116" s="15" t="n">
        <v>52</v>
      </c>
      <c r="G116" s="16" t="n">
        <f aca="false">IF(E116=0,0,D116/E116)</f>
        <v>40.3114285714286</v>
      </c>
    </row>
    <row r="117" customFormat="false" ht="15" hidden="false" customHeight="false" outlineLevel="0" collapsed="false">
      <c r="A117" s="9" t="n">
        <v>46258</v>
      </c>
      <c r="B117" s="8" t="str">
        <f aca="false">TEXT(A117,"dddd")</f>
        <v>Monday</v>
      </c>
      <c r="C117" s="10" t="n">
        <f aca="false">A117-WEEKDAY(A117,2)+1</f>
        <v>46258</v>
      </c>
      <c r="D117" s="14" t="n">
        <v>658.34</v>
      </c>
      <c r="E117" s="15" t="n">
        <v>16</v>
      </c>
      <c r="F117" s="15" t="n">
        <v>29</v>
      </c>
      <c r="G117" s="16" t="n">
        <f aca="false">IF(E117=0,0,D117/E117)</f>
        <v>41.14625</v>
      </c>
    </row>
    <row r="118" customFormat="false" ht="15" hidden="false" customHeight="false" outlineLevel="0" collapsed="false">
      <c r="A118" s="9" t="n">
        <v>46259</v>
      </c>
      <c r="B118" s="8" t="str">
        <f aca="false">TEXT(A118,"dddd")</f>
        <v>Tuesday</v>
      </c>
      <c r="C118" s="10" t="n">
        <f aca="false">A118-WEEKDAY(A118,2)+1</f>
        <v>46258</v>
      </c>
      <c r="D118" s="14" t="n">
        <v>791.76</v>
      </c>
      <c r="E118" s="15" t="n">
        <v>21</v>
      </c>
      <c r="F118" s="15" t="n">
        <v>30</v>
      </c>
      <c r="G118" s="16" t="n">
        <f aca="false">IF(E118=0,0,D118/E118)</f>
        <v>37.7028571428571</v>
      </c>
    </row>
    <row r="119" customFormat="false" ht="15" hidden="false" customHeight="false" outlineLevel="0" collapsed="false">
      <c r="A119" s="9" t="n">
        <v>46260</v>
      </c>
      <c r="B119" s="8" t="str">
        <f aca="false">TEXT(A119,"dddd")</f>
        <v>Wednesday</v>
      </c>
      <c r="C119" s="10" t="n">
        <f aca="false">A119-WEEKDAY(A119,2)+1</f>
        <v>46258</v>
      </c>
      <c r="D119" s="14" t="n">
        <v>756.41</v>
      </c>
      <c r="E119" s="15" t="n">
        <v>18</v>
      </c>
      <c r="F119" s="15" t="n">
        <v>28</v>
      </c>
      <c r="G119" s="16" t="n">
        <f aca="false">IF(E119=0,0,D119/E119)</f>
        <v>42.0227777777778</v>
      </c>
    </row>
    <row r="120" customFormat="false" ht="15" hidden="false" customHeight="false" outlineLevel="0" collapsed="false">
      <c r="A120" s="9" t="n">
        <v>46261</v>
      </c>
      <c r="B120" s="8" t="str">
        <f aca="false">TEXT(A120,"dddd")</f>
        <v>Thursday</v>
      </c>
      <c r="C120" s="10" t="n">
        <f aca="false">A120-WEEKDAY(A120,2)+1</f>
        <v>46258</v>
      </c>
      <c r="D120" s="14" t="n">
        <v>924.85</v>
      </c>
      <c r="E120" s="15" t="n">
        <v>22</v>
      </c>
      <c r="F120" s="15" t="n">
        <v>34</v>
      </c>
      <c r="G120" s="16" t="n">
        <f aca="false">IF(E120=0,0,D120/E120)</f>
        <v>42.0386363636364</v>
      </c>
    </row>
    <row r="121" customFormat="false" ht="15" hidden="false" customHeight="false" outlineLevel="0" collapsed="false">
      <c r="A121" s="9" t="n">
        <v>46262</v>
      </c>
      <c r="B121" s="8" t="str">
        <f aca="false">TEXT(A121,"dddd")</f>
        <v>Friday</v>
      </c>
      <c r="C121" s="10" t="n">
        <f aca="false">A121-WEEKDAY(A121,2)+1</f>
        <v>46258</v>
      </c>
      <c r="D121" s="14" t="n">
        <v>1335.14</v>
      </c>
      <c r="E121" s="15" t="n">
        <v>32</v>
      </c>
      <c r="F121" s="15" t="n">
        <v>50</v>
      </c>
      <c r="G121" s="16" t="n">
        <f aca="false">IF(E121=0,0,D121/E121)</f>
        <v>41.723125</v>
      </c>
    </row>
    <row r="122" customFormat="false" ht="15" hidden="false" customHeight="false" outlineLevel="0" collapsed="false">
      <c r="A122" s="9" t="n">
        <v>46263</v>
      </c>
      <c r="B122" s="8" t="str">
        <f aca="false">TEXT(A122,"dddd")</f>
        <v>Saturday</v>
      </c>
      <c r="C122" s="10" t="n">
        <f aca="false">A122-WEEKDAY(A122,2)+1</f>
        <v>46258</v>
      </c>
      <c r="D122" s="14" t="n">
        <v>1806.83</v>
      </c>
      <c r="E122" s="15" t="n">
        <v>38</v>
      </c>
      <c r="F122" s="15" t="n">
        <v>64</v>
      </c>
      <c r="G122" s="16" t="n">
        <f aca="false">IF(E122=0,0,D122/E122)</f>
        <v>47.5481578947368</v>
      </c>
    </row>
    <row r="123" customFormat="false" ht="15" hidden="false" customHeight="false" outlineLevel="0" collapsed="false">
      <c r="A123" s="9" t="n">
        <v>46264</v>
      </c>
      <c r="B123" s="8" t="str">
        <f aca="false">TEXT(A123,"dddd")</f>
        <v>Sunday</v>
      </c>
      <c r="C123" s="10" t="n">
        <f aca="false">A123-WEEKDAY(A123,2)+1</f>
        <v>46258</v>
      </c>
      <c r="D123" s="14" t="n">
        <v>1052.96</v>
      </c>
      <c r="E123" s="15" t="n">
        <v>30</v>
      </c>
      <c r="F123" s="15" t="n">
        <v>49</v>
      </c>
      <c r="G123" s="16" t="n">
        <f aca="false">IF(E123=0,0,D123/E123)</f>
        <v>35.0986666666667</v>
      </c>
    </row>
    <row r="124" customFormat="false" ht="15" hidden="false" customHeight="false" outlineLevel="0" collapsed="false">
      <c r="A124" s="9" t="n">
        <v>46265</v>
      </c>
      <c r="B124" s="8" t="str">
        <f aca="false">TEXT(A124,"dddd")</f>
        <v>Monday</v>
      </c>
      <c r="C124" s="10" t="n">
        <f aca="false">A124-WEEKDAY(A124,2)+1</f>
        <v>46265</v>
      </c>
      <c r="D124" s="14" t="n">
        <v>541.03</v>
      </c>
      <c r="E124" s="15" t="n">
        <v>15</v>
      </c>
      <c r="F124" s="15" t="n">
        <v>25</v>
      </c>
      <c r="G124" s="16" t="n">
        <f aca="false">IF(E124=0,0,D124/E124)</f>
        <v>36.0686666666667</v>
      </c>
    </row>
    <row r="125" customFormat="false" ht="15" hidden="false" customHeight="false" outlineLevel="0" collapsed="false">
      <c r="A125" s="9" t="n">
        <v>46266</v>
      </c>
      <c r="B125" s="8" t="str">
        <f aca="false">TEXT(A125,"dddd")</f>
        <v>Tuesday</v>
      </c>
      <c r="C125" s="10" t="n">
        <f aca="false">A125-WEEKDAY(A125,2)+1</f>
        <v>46265</v>
      </c>
      <c r="D125" s="14" t="n">
        <v>688.08</v>
      </c>
      <c r="E125" s="15" t="n">
        <v>17</v>
      </c>
      <c r="F125" s="15" t="n">
        <v>22</v>
      </c>
      <c r="G125" s="16" t="n">
        <f aca="false">IF(E125=0,0,D125/E125)</f>
        <v>40.4752941176471</v>
      </c>
    </row>
    <row r="126" customFormat="false" ht="15" hidden="false" customHeight="false" outlineLevel="0" collapsed="false">
      <c r="A126" s="9" t="n">
        <v>46267</v>
      </c>
      <c r="B126" s="8" t="str">
        <f aca="false">TEXT(A126,"dddd")</f>
        <v>Wednesday</v>
      </c>
      <c r="C126" s="10" t="n">
        <f aca="false">A126-WEEKDAY(A126,2)+1</f>
        <v>46265</v>
      </c>
      <c r="D126" s="14" t="n">
        <v>617.99</v>
      </c>
      <c r="E126" s="15" t="n">
        <v>16</v>
      </c>
      <c r="F126" s="15" t="n">
        <v>27</v>
      </c>
      <c r="G126" s="16" t="n">
        <f aca="false">IF(E126=0,0,D126/E126)</f>
        <v>38.624375</v>
      </c>
    </row>
    <row r="127" customFormat="false" ht="15" hidden="false" customHeight="false" outlineLevel="0" collapsed="false">
      <c r="A127" s="9" t="n">
        <v>46268</v>
      </c>
      <c r="B127" s="8" t="str">
        <f aca="false">TEXT(A127,"dddd")</f>
        <v>Thursday</v>
      </c>
      <c r="C127" s="10" t="n">
        <f aca="false">A127-WEEKDAY(A127,2)+1</f>
        <v>46265</v>
      </c>
      <c r="D127" s="14" t="n">
        <v>1043.98</v>
      </c>
      <c r="E127" s="15" t="n">
        <v>25</v>
      </c>
      <c r="F127" s="15" t="n">
        <v>37</v>
      </c>
      <c r="G127" s="16" t="n">
        <f aca="false">IF(E127=0,0,D127/E127)</f>
        <v>41.7592</v>
      </c>
    </row>
    <row r="128" customFormat="false" ht="15" hidden="false" customHeight="false" outlineLevel="0" collapsed="false">
      <c r="A128" s="9" t="n">
        <v>46269</v>
      </c>
      <c r="B128" s="8" t="str">
        <f aca="false">TEXT(A128,"dddd")</f>
        <v>Friday</v>
      </c>
      <c r="C128" s="10" t="n">
        <f aca="false">A128-WEEKDAY(A128,2)+1</f>
        <v>46265</v>
      </c>
      <c r="D128" s="14" t="n">
        <v>1183.31</v>
      </c>
      <c r="E128" s="15" t="n">
        <v>29</v>
      </c>
      <c r="F128" s="15" t="n">
        <v>45</v>
      </c>
      <c r="G128" s="16" t="n">
        <f aca="false">IF(E128=0,0,D128/E128)</f>
        <v>40.8037931034483</v>
      </c>
    </row>
    <row r="129" customFormat="false" ht="15" hidden="false" customHeight="false" outlineLevel="0" collapsed="false">
      <c r="A129" s="9" t="n">
        <v>46270</v>
      </c>
      <c r="B129" s="8" t="str">
        <f aca="false">TEXT(A129,"dddd")</f>
        <v>Saturday</v>
      </c>
      <c r="C129" s="10" t="n">
        <f aca="false">A129-WEEKDAY(A129,2)+1</f>
        <v>46265</v>
      </c>
      <c r="D129" s="14" t="n">
        <v>1407.85</v>
      </c>
      <c r="E129" s="15" t="n">
        <v>34</v>
      </c>
      <c r="F129" s="15" t="n">
        <v>48</v>
      </c>
      <c r="G129" s="16" t="n">
        <f aca="false">IF(E129=0,0,D129/E129)</f>
        <v>41.4073529411765</v>
      </c>
    </row>
    <row r="130" customFormat="false" ht="15" hidden="false" customHeight="false" outlineLevel="0" collapsed="false">
      <c r="A130" s="9" t="n">
        <v>46271</v>
      </c>
      <c r="B130" s="8" t="str">
        <f aca="false">TEXT(A130,"dddd")</f>
        <v>Sunday</v>
      </c>
      <c r="C130" s="10" t="n">
        <f aca="false">A130-WEEKDAY(A130,2)+1</f>
        <v>46265</v>
      </c>
      <c r="D130" s="14" t="n">
        <v>1341.58</v>
      </c>
      <c r="E130" s="15" t="n">
        <v>30</v>
      </c>
      <c r="F130" s="15" t="n">
        <v>52</v>
      </c>
      <c r="G130" s="16" t="n">
        <f aca="false">IF(E130=0,0,D130/E130)</f>
        <v>44.7193333333333</v>
      </c>
    </row>
    <row r="131" customFormat="false" ht="15" hidden="false" customHeight="false" outlineLevel="0" collapsed="false">
      <c r="A131" s="9" t="n">
        <v>46272</v>
      </c>
      <c r="B131" s="8" t="str">
        <f aca="false">TEXT(A131,"dddd")</f>
        <v>Monday</v>
      </c>
      <c r="C131" s="10" t="n">
        <f aca="false">A131-WEEKDAY(A131,2)+1</f>
        <v>46272</v>
      </c>
      <c r="D131" s="14" t="n">
        <v>727.61</v>
      </c>
      <c r="E131" s="15" t="n">
        <v>17</v>
      </c>
      <c r="F131" s="15" t="n">
        <v>26</v>
      </c>
      <c r="G131" s="16" t="n">
        <f aca="false">IF(E131=0,0,D131/E131)</f>
        <v>42.8005882352941</v>
      </c>
    </row>
    <row r="132" customFormat="false" ht="15" hidden="false" customHeight="false" outlineLevel="0" collapsed="false">
      <c r="A132" s="9" t="n">
        <v>46273</v>
      </c>
      <c r="B132" s="8" t="str">
        <f aca="false">TEXT(A132,"dddd")</f>
        <v>Tuesday</v>
      </c>
      <c r="C132" s="10" t="n">
        <f aca="false">A132-WEEKDAY(A132,2)+1</f>
        <v>46272</v>
      </c>
      <c r="D132" s="14" t="n">
        <v>557.38</v>
      </c>
      <c r="E132" s="15" t="n">
        <v>14</v>
      </c>
      <c r="F132" s="15" t="n">
        <v>19</v>
      </c>
      <c r="G132" s="16" t="n">
        <f aca="false">IF(E132=0,0,D132/E132)</f>
        <v>39.8128571428571</v>
      </c>
    </row>
    <row r="133" customFormat="false" ht="15" hidden="false" customHeight="false" outlineLevel="0" collapsed="false">
      <c r="A133" s="9" t="n">
        <v>46274</v>
      </c>
      <c r="B133" s="8" t="str">
        <f aca="false">TEXT(A133,"dddd")</f>
        <v>Wednesday</v>
      </c>
      <c r="C133" s="10" t="n">
        <f aca="false">A133-WEEKDAY(A133,2)+1</f>
        <v>46272</v>
      </c>
      <c r="D133" s="14" t="n">
        <v>569.14</v>
      </c>
      <c r="E133" s="15" t="n">
        <v>13</v>
      </c>
      <c r="F133" s="15" t="n">
        <v>20</v>
      </c>
      <c r="G133" s="16" t="n">
        <f aca="false">IF(E133=0,0,D133/E133)</f>
        <v>43.78</v>
      </c>
    </row>
    <row r="134" customFormat="false" ht="15" hidden="false" customHeight="false" outlineLevel="0" collapsed="false">
      <c r="A134" s="9" t="n">
        <v>46275</v>
      </c>
      <c r="B134" s="8" t="str">
        <f aca="false">TEXT(A134,"dddd")</f>
        <v>Thursday</v>
      </c>
      <c r="C134" s="10" t="n">
        <f aca="false">A134-WEEKDAY(A134,2)+1</f>
        <v>46272</v>
      </c>
      <c r="D134" s="14" t="n">
        <v>801.11</v>
      </c>
      <c r="E134" s="15" t="n">
        <v>18</v>
      </c>
      <c r="F134" s="15" t="n">
        <v>24</v>
      </c>
      <c r="G134" s="16" t="n">
        <f aca="false">IF(E134=0,0,D134/E134)</f>
        <v>44.5061111111111</v>
      </c>
    </row>
    <row r="135" customFormat="false" ht="15" hidden="false" customHeight="false" outlineLevel="0" collapsed="false">
      <c r="A135" s="9" t="n">
        <v>46276</v>
      </c>
      <c r="B135" s="8" t="str">
        <f aca="false">TEXT(A135,"dddd")</f>
        <v>Friday</v>
      </c>
      <c r="C135" s="10" t="n">
        <f aca="false">A135-WEEKDAY(A135,2)+1</f>
        <v>46272</v>
      </c>
      <c r="D135" s="14" t="n">
        <v>1248.41</v>
      </c>
      <c r="E135" s="15" t="n">
        <v>30</v>
      </c>
      <c r="F135" s="15" t="n">
        <v>49</v>
      </c>
      <c r="G135" s="16" t="n">
        <f aca="false">IF(E135=0,0,D135/E135)</f>
        <v>41.6136666666667</v>
      </c>
    </row>
    <row r="136" customFormat="false" ht="15" hidden="false" customHeight="false" outlineLevel="0" collapsed="false">
      <c r="A136" s="9" t="n">
        <v>46277</v>
      </c>
      <c r="B136" s="8" t="str">
        <f aca="false">TEXT(A136,"dddd")</f>
        <v>Saturday</v>
      </c>
      <c r="C136" s="10" t="n">
        <f aca="false">A136-WEEKDAY(A136,2)+1</f>
        <v>46272</v>
      </c>
      <c r="D136" s="14" t="n">
        <v>1605.68</v>
      </c>
      <c r="E136" s="15" t="n">
        <v>36</v>
      </c>
      <c r="F136" s="15" t="n">
        <v>58</v>
      </c>
      <c r="G136" s="16" t="n">
        <f aca="false">IF(E136=0,0,D136/E136)</f>
        <v>44.6022222222222</v>
      </c>
    </row>
    <row r="137" customFormat="false" ht="15" hidden="false" customHeight="false" outlineLevel="0" collapsed="false">
      <c r="A137" s="9" t="n">
        <v>46278</v>
      </c>
      <c r="B137" s="8" t="str">
        <f aca="false">TEXT(A137,"dddd")</f>
        <v>Sunday</v>
      </c>
      <c r="C137" s="10" t="n">
        <f aca="false">A137-WEEKDAY(A137,2)+1</f>
        <v>46272</v>
      </c>
      <c r="D137" s="14" t="n">
        <v>868.07</v>
      </c>
      <c r="E137" s="15" t="n">
        <v>23</v>
      </c>
      <c r="F137" s="15" t="n">
        <v>39</v>
      </c>
      <c r="G137" s="16" t="n">
        <f aca="false">IF(E137=0,0,D137/E137)</f>
        <v>37.7421739130435</v>
      </c>
    </row>
    <row r="138" customFormat="false" ht="15" hidden="false" customHeight="false" outlineLevel="0" collapsed="false">
      <c r="A138" s="9" t="n">
        <v>46279</v>
      </c>
      <c r="B138" s="8" t="str">
        <f aca="false">TEXT(A138,"dddd")</f>
        <v>Monday</v>
      </c>
      <c r="C138" s="10" t="n">
        <f aca="false">A138-WEEKDAY(A138,2)+1</f>
        <v>46279</v>
      </c>
      <c r="D138" s="14" t="n">
        <v>687.07</v>
      </c>
      <c r="E138" s="15" t="n">
        <v>20</v>
      </c>
      <c r="F138" s="15" t="n">
        <v>36</v>
      </c>
      <c r="G138" s="16" t="n">
        <f aca="false">IF(E138=0,0,D138/E138)</f>
        <v>34.3535</v>
      </c>
    </row>
    <row r="139" customFormat="false" ht="15" hidden="false" customHeight="false" outlineLevel="0" collapsed="false">
      <c r="A139" s="9" t="n">
        <v>46280</v>
      </c>
      <c r="B139" s="8" t="str">
        <f aca="false">TEXT(A139,"dddd")</f>
        <v>Tuesday</v>
      </c>
      <c r="C139" s="10" t="n">
        <f aca="false">A139-WEEKDAY(A139,2)+1</f>
        <v>46279</v>
      </c>
      <c r="D139" s="14" t="n">
        <v>731.23</v>
      </c>
      <c r="E139" s="15" t="n">
        <v>16</v>
      </c>
      <c r="F139" s="15" t="n">
        <v>24</v>
      </c>
      <c r="G139" s="16" t="n">
        <f aca="false">IF(E139=0,0,D139/E139)</f>
        <v>45.701875</v>
      </c>
    </row>
    <row r="140" customFormat="false" ht="15" hidden="false" customHeight="false" outlineLevel="0" collapsed="false">
      <c r="A140" s="9" t="n">
        <v>46281</v>
      </c>
      <c r="B140" s="8" t="str">
        <f aca="false">TEXT(A140,"dddd")</f>
        <v>Wednesday</v>
      </c>
      <c r="C140" s="10" t="n">
        <f aca="false">A140-WEEKDAY(A140,2)+1</f>
        <v>46279</v>
      </c>
      <c r="D140" s="14" t="n">
        <v>592.92</v>
      </c>
      <c r="E140" s="15" t="n">
        <v>16</v>
      </c>
      <c r="F140" s="15" t="n">
        <v>31</v>
      </c>
      <c r="G140" s="16" t="n">
        <f aca="false">IF(E140=0,0,D140/E140)</f>
        <v>37.0575</v>
      </c>
    </row>
    <row r="141" customFormat="false" ht="15" hidden="false" customHeight="false" outlineLevel="0" collapsed="false">
      <c r="A141" s="9" t="n">
        <v>46282</v>
      </c>
      <c r="B141" s="8" t="str">
        <f aca="false">TEXT(A141,"dddd")</f>
        <v>Thursday</v>
      </c>
      <c r="C141" s="10" t="n">
        <f aca="false">A141-WEEKDAY(A141,2)+1</f>
        <v>46279</v>
      </c>
      <c r="D141" s="14" t="n">
        <v>791.46</v>
      </c>
      <c r="E141" s="15" t="n">
        <v>17</v>
      </c>
      <c r="F141" s="15" t="n">
        <v>25</v>
      </c>
      <c r="G141" s="16" t="n">
        <f aca="false">IF(E141=0,0,D141/E141)</f>
        <v>46.5564705882353</v>
      </c>
    </row>
    <row r="142" customFormat="false" ht="15" hidden="false" customHeight="false" outlineLevel="0" collapsed="false">
      <c r="A142" s="9" t="n">
        <v>46283</v>
      </c>
      <c r="B142" s="8" t="str">
        <f aca="false">TEXT(A142,"dddd")</f>
        <v>Friday</v>
      </c>
      <c r="C142" s="10" t="n">
        <f aca="false">A142-WEEKDAY(A142,2)+1</f>
        <v>46279</v>
      </c>
      <c r="D142" s="14" t="n">
        <v>1159.96</v>
      </c>
      <c r="E142" s="15" t="n">
        <v>33</v>
      </c>
      <c r="F142" s="15" t="n">
        <v>50</v>
      </c>
      <c r="G142" s="16" t="n">
        <f aca="false">IF(E142=0,0,D142/E142)</f>
        <v>35.150303030303</v>
      </c>
    </row>
    <row r="143" customFormat="false" ht="15" hidden="false" customHeight="false" outlineLevel="0" collapsed="false">
      <c r="A143" s="9" t="n">
        <v>46284</v>
      </c>
      <c r="B143" s="8" t="str">
        <f aca="false">TEXT(A143,"dddd")</f>
        <v>Saturday</v>
      </c>
      <c r="C143" s="10" t="n">
        <f aca="false">A143-WEEKDAY(A143,2)+1</f>
        <v>46279</v>
      </c>
      <c r="D143" s="14" t="n">
        <v>1464.76</v>
      </c>
      <c r="E143" s="15" t="n">
        <v>40</v>
      </c>
      <c r="F143" s="15" t="n">
        <v>70</v>
      </c>
      <c r="G143" s="16" t="n">
        <f aca="false">IF(E143=0,0,D143/E143)</f>
        <v>36.619</v>
      </c>
    </row>
    <row r="144" customFormat="false" ht="15" hidden="false" customHeight="false" outlineLevel="0" collapsed="false">
      <c r="A144" s="9" t="n">
        <v>46285</v>
      </c>
      <c r="B144" s="8" t="str">
        <f aca="false">TEXT(A144,"dddd")</f>
        <v>Sunday</v>
      </c>
      <c r="C144" s="10" t="n">
        <f aca="false">A144-WEEKDAY(A144,2)+1</f>
        <v>46279</v>
      </c>
      <c r="D144" s="14" t="n">
        <v>1045.69</v>
      </c>
      <c r="E144" s="15" t="n">
        <v>28</v>
      </c>
      <c r="F144" s="15" t="n">
        <v>42</v>
      </c>
      <c r="G144" s="16" t="n">
        <f aca="false">IF(E144=0,0,D144/E144)</f>
        <v>37.3460714285714</v>
      </c>
    </row>
    <row r="145" customFormat="false" ht="15" hidden="false" customHeight="false" outlineLevel="0" collapsed="false">
      <c r="A145" s="9" t="n">
        <v>46286</v>
      </c>
      <c r="B145" s="8" t="str">
        <f aca="false">TEXT(A145,"dddd")</f>
        <v>Monday</v>
      </c>
      <c r="C145" s="10" t="n">
        <f aca="false">A145-WEEKDAY(A145,2)+1</f>
        <v>46286</v>
      </c>
      <c r="D145" s="14" t="n">
        <v>694.05</v>
      </c>
      <c r="E145" s="15" t="n">
        <v>17</v>
      </c>
      <c r="F145" s="15" t="n">
        <v>25</v>
      </c>
      <c r="G145" s="16" t="n">
        <f aca="false">IF(E145=0,0,D145/E145)</f>
        <v>40.8264705882353</v>
      </c>
    </row>
    <row r="146" customFormat="false" ht="15" hidden="false" customHeight="false" outlineLevel="0" collapsed="false">
      <c r="A146" s="9" t="n">
        <v>46287</v>
      </c>
      <c r="B146" s="8" t="str">
        <f aca="false">TEXT(A146,"dddd")</f>
        <v>Tuesday</v>
      </c>
      <c r="C146" s="10" t="n">
        <f aca="false">A146-WEEKDAY(A146,2)+1</f>
        <v>46286</v>
      </c>
      <c r="D146" s="14" t="n">
        <v>479.21</v>
      </c>
      <c r="E146" s="15" t="n">
        <v>12</v>
      </c>
      <c r="F146" s="15" t="n">
        <v>17</v>
      </c>
      <c r="G146" s="16" t="n">
        <f aca="false">IF(E146=0,0,D146/E146)</f>
        <v>39.9341666666667</v>
      </c>
    </row>
    <row r="147" customFormat="false" ht="15" hidden="false" customHeight="false" outlineLevel="0" collapsed="false">
      <c r="A147" s="9" t="n">
        <v>46288</v>
      </c>
      <c r="B147" s="8" t="str">
        <f aca="false">TEXT(A147,"dddd")</f>
        <v>Wednesday</v>
      </c>
      <c r="C147" s="10" t="n">
        <f aca="false">A147-WEEKDAY(A147,2)+1</f>
        <v>46286</v>
      </c>
      <c r="D147" s="14" t="n">
        <v>530.81</v>
      </c>
      <c r="E147" s="15" t="n">
        <v>13</v>
      </c>
      <c r="F147" s="15" t="n">
        <v>22</v>
      </c>
      <c r="G147" s="16" t="n">
        <f aca="false">IF(E147=0,0,D147/E147)</f>
        <v>40.8315384615385</v>
      </c>
    </row>
    <row r="148" customFormat="false" ht="15" hidden="false" customHeight="false" outlineLevel="0" collapsed="false">
      <c r="A148" s="9" t="n">
        <v>46289</v>
      </c>
      <c r="B148" s="8" t="str">
        <f aca="false">TEXT(A148,"dddd")</f>
        <v>Thursday</v>
      </c>
      <c r="C148" s="10" t="n">
        <f aca="false">A148-WEEKDAY(A148,2)+1</f>
        <v>46286</v>
      </c>
      <c r="D148" s="14" t="n">
        <v>533.16</v>
      </c>
      <c r="E148" s="15" t="n">
        <v>13</v>
      </c>
      <c r="F148" s="15" t="n">
        <v>19</v>
      </c>
      <c r="G148" s="16" t="n">
        <f aca="false">IF(E148=0,0,D148/E148)</f>
        <v>41.0123076923077</v>
      </c>
    </row>
    <row r="149" customFormat="false" ht="15" hidden="false" customHeight="false" outlineLevel="0" collapsed="false">
      <c r="A149" s="9" t="n">
        <v>46290</v>
      </c>
      <c r="B149" s="8" t="str">
        <f aca="false">TEXT(A149,"dddd")</f>
        <v>Friday</v>
      </c>
      <c r="C149" s="10" t="n">
        <f aca="false">A149-WEEKDAY(A149,2)+1</f>
        <v>46286</v>
      </c>
      <c r="D149" s="14" t="n">
        <v>1319.61</v>
      </c>
      <c r="E149" s="15" t="n">
        <v>30</v>
      </c>
      <c r="F149" s="15" t="n">
        <v>45</v>
      </c>
      <c r="G149" s="16" t="n">
        <f aca="false">IF(E149=0,0,D149/E149)</f>
        <v>43.987</v>
      </c>
    </row>
    <row r="150" customFormat="false" ht="15" hidden="false" customHeight="false" outlineLevel="0" collapsed="false">
      <c r="A150" s="9" t="n">
        <v>46291</v>
      </c>
      <c r="B150" s="8" t="str">
        <f aca="false">TEXT(A150,"dddd")</f>
        <v>Saturday</v>
      </c>
      <c r="C150" s="10" t="n">
        <f aca="false">A150-WEEKDAY(A150,2)+1</f>
        <v>46286</v>
      </c>
      <c r="D150" s="14" t="n">
        <v>1607.36</v>
      </c>
      <c r="E150" s="15" t="n">
        <v>42</v>
      </c>
      <c r="F150" s="15" t="n">
        <v>69</v>
      </c>
      <c r="G150" s="16" t="n">
        <f aca="false">IF(E150=0,0,D150/E150)</f>
        <v>38.2704761904762</v>
      </c>
    </row>
    <row r="151" customFormat="false" ht="15" hidden="false" customHeight="false" outlineLevel="0" collapsed="false">
      <c r="A151" s="9" t="n">
        <v>46292</v>
      </c>
      <c r="B151" s="8" t="str">
        <f aca="false">TEXT(A151,"dddd")</f>
        <v>Sunday</v>
      </c>
      <c r="C151" s="10" t="n">
        <f aca="false">A151-WEEKDAY(A151,2)+1</f>
        <v>46286</v>
      </c>
      <c r="D151" s="14" t="n">
        <v>997.38</v>
      </c>
      <c r="E151" s="15" t="n">
        <v>26</v>
      </c>
      <c r="F151" s="15" t="n">
        <v>43</v>
      </c>
      <c r="G151" s="16" t="n">
        <f aca="false">IF(E151=0,0,D151/E151)</f>
        <v>38.3607692307692</v>
      </c>
    </row>
    <row r="152" customFormat="false" ht="15" hidden="false" customHeight="false" outlineLevel="0" collapsed="false">
      <c r="A152" s="9" t="n">
        <v>46293</v>
      </c>
      <c r="B152" s="8" t="str">
        <f aca="false">TEXT(A152,"dddd")</f>
        <v>Monday</v>
      </c>
      <c r="C152" s="10" t="n">
        <f aca="false">A152-WEEKDAY(A152,2)+1</f>
        <v>46293</v>
      </c>
      <c r="D152" s="14" t="n">
        <v>776</v>
      </c>
      <c r="E152" s="15" t="n">
        <v>18</v>
      </c>
      <c r="F152" s="15" t="n">
        <v>28</v>
      </c>
      <c r="G152" s="16" t="n">
        <f aca="false">IF(E152=0,0,D152/E152)</f>
        <v>43.1111111111111</v>
      </c>
    </row>
    <row r="153" customFormat="false" ht="15" hidden="false" customHeight="false" outlineLevel="0" collapsed="false">
      <c r="A153" s="9" t="n">
        <v>46294</v>
      </c>
      <c r="B153" s="8" t="str">
        <f aca="false">TEXT(A153,"dddd")</f>
        <v>Tuesday</v>
      </c>
      <c r="C153" s="10" t="n">
        <f aca="false">A153-WEEKDAY(A153,2)+1</f>
        <v>46293</v>
      </c>
      <c r="D153" s="14" t="n">
        <v>447.07</v>
      </c>
      <c r="E153" s="15" t="n">
        <v>11</v>
      </c>
      <c r="F153" s="15" t="n">
        <v>17</v>
      </c>
      <c r="G153" s="16" t="n">
        <f aca="false">IF(E153=0,0,D153/E153)</f>
        <v>40.6427272727273</v>
      </c>
    </row>
    <row r="154" customFormat="false" ht="15" hidden="false" customHeight="false" outlineLevel="0" collapsed="false">
      <c r="A154" s="9" t="n">
        <v>46295</v>
      </c>
      <c r="B154" s="8" t="str">
        <f aca="false">TEXT(A154,"dddd")</f>
        <v>Wednesday</v>
      </c>
      <c r="C154" s="10" t="n">
        <f aca="false">A154-WEEKDAY(A154,2)+1</f>
        <v>46293</v>
      </c>
      <c r="D154" s="14" t="n">
        <v>756.56</v>
      </c>
      <c r="E154" s="15" t="n">
        <v>20</v>
      </c>
      <c r="F154" s="15" t="n">
        <v>31</v>
      </c>
      <c r="G154" s="16" t="n">
        <f aca="false">IF(E154=0,0,D154/E154)</f>
        <v>37.828</v>
      </c>
    </row>
    <row r="155" customFormat="false" ht="15" hidden="false" customHeight="false" outlineLevel="0" collapsed="false">
      <c r="A155" s="9" t="n">
        <v>46296</v>
      </c>
      <c r="B155" s="8" t="str">
        <f aca="false">TEXT(A155,"dddd")</f>
        <v>Thursday</v>
      </c>
      <c r="C155" s="10" t="n">
        <f aca="false">A155-WEEKDAY(A155,2)+1</f>
        <v>46293</v>
      </c>
      <c r="D155" s="14" t="n">
        <v>562.64</v>
      </c>
      <c r="E155" s="15" t="n">
        <v>13</v>
      </c>
      <c r="F155" s="15" t="n">
        <v>18</v>
      </c>
      <c r="G155" s="16" t="n">
        <f aca="false">IF(E155=0,0,D155/E155)</f>
        <v>43.28</v>
      </c>
    </row>
    <row r="156" customFormat="false" ht="15" hidden="false" customHeight="false" outlineLevel="0" collapsed="false">
      <c r="A156" s="9" t="n">
        <v>46297</v>
      </c>
      <c r="B156" s="8" t="str">
        <f aca="false">TEXT(A156,"dddd")</f>
        <v>Friday</v>
      </c>
      <c r="C156" s="10" t="n">
        <f aca="false">A156-WEEKDAY(A156,2)+1</f>
        <v>46293</v>
      </c>
      <c r="D156" s="14" t="n">
        <v>1101.4</v>
      </c>
      <c r="E156" s="15" t="n">
        <v>27</v>
      </c>
      <c r="F156" s="15" t="n">
        <v>47</v>
      </c>
      <c r="G156" s="16" t="n">
        <f aca="false">IF(E156=0,0,D156/E156)</f>
        <v>40.7925925925926</v>
      </c>
    </row>
    <row r="157" customFormat="false" ht="15" hidden="false" customHeight="false" outlineLevel="0" collapsed="false">
      <c r="A157" s="9" t="n">
        <v>46298</v>
      </c>
      <c r="B157" s="8" t="str">
        <f aca="false">TEXT(A157,"dddd")</f>
        <v>Saturday</v>
      </c>
      <c r="C157" s="10" t="n">
        <f aca="false">A157-WEEKDAY(A157,2)+1</f>
        <v>46293</v>
      </c>
      <c r="D157" s="14" t="n">
        <v>1227.33</v>
      </c>
      <c r="E157" s="15" t="n">
        <v>33</v>
      </c>
      <c r="F157" s="15" t="n">
        <v>49</v>
      </c>
      <c r="G157" s="16" t="n">
        <f aca="false">IF(E157=0,0,D157/E157)</f>
        <v>37.1918181818182</v>
      </c>
    </row>
    <row r="158" customFormat="false" ht="15" hidden="false" customHeight="false" outlineLevel="0" collapsed="false">
      <c r="A158" s="9" t="n">
        <v>46299</v>
      </c>
      <c r="B158" s="8" t="str">
        <f aca="false">TEXT(A158,"dddd")</f>
        <v>Sunday</v>
      </c>
      <c r="C158" s="10" t="n">
        <f aca="false">A158-WEEKDAY(A158,2)+1</f>
        <v>46293</v>
      </c>
      <c r="D158" s="14" t="n">
        <v>973.54</v>
      </c>
      <c r="E158" s="15" t="n">
        <v>23</v>
      </c>
      <c r="F158" s="15" t="n">
        <v>34</v>
      </c>
      <c r="G158" s="16" t="n">
        <f aca="false">IF(E158=0,0,D158/E158)</f>
        <v>42.3278260869565</v>
      </c>
    </row>
    <row r="159" customFormat="false" ht="15" hidden="false" customHeight="false" outlineLevel="0" collapsed="false">
      <c r="A159" s="9" t="n">
        <v>46300</v>
      </c>
      <c r="B159" s="8" t="str">
        <f aca="false">TEXT(A159,"dddd")</f>
        <v>Monday</v>
      </c>
      <c r="C159" s="10" t="n">
        <f aca="false">A159-WEEKDAY(A159,2)+1</f>
        <v>46300</v>
      </c>
      <c r="D159" s="14" t="n">
        <v>688.67</v>
      </c>
      <c r="E159" s="15" t="n">
        <v>16</v>
      </c>
      <c r="F159" s="15" t="n">
        <v>23</v>
      </c>
      <c r="G159" s="16" t="n">
        <f aca="false">IF(E159=0,0,D159/E159)</f>
        <v>43.041875</v>
      </c>
    </row>
    <row r="160" customFormat="false" ht="15" hidden="false" customHeight="false" outlineLevel="0" collapsed="false">
      <c r="A160" s="9" t="n">
        <v>46301</v>
      </c>
      <c r="B160" s="8" t="str">
        <f aca="false">TEXT(A160,"dddd")</f>
        <v>Tuesday</v>
      </c>
      <c r="C160" s="10" t="n">
        <f aca="false">A160-WEEKDAY(A160,2)+1</f>
        <v>46300</v>
      </c>
      <c r="D160" s="14" t="n">
        <v>601.6</v>
      </c>
      <c r="E160" s="15" t="n">
        <v>16</v>
      </c>
      <c r="F160" s="15" t="n">
        <v>22</v>
      </c>
      <c r="G160" s="16" t="n">
        <f aca="false">IF(E160=0,0,D160/E160)</f>
        <v>37.6</v>
      </c>
    </row>
    <row r="161" customFormat="false" ht="15" hidden="false" customHeight="false" outlineLevel="0" collapsed="false">
      <c r="A161" s="9" t="n">
        <v>46302</v>
      </c>
      <c r="B161" s="8" t="str">
        <f aca="false">TEXT(A161,"dddd")</f>
        <v>Wednesday</v>
      </c>
      <c r="C161" s="10" t="n">
        <f aca="false">A161-WEEKDAY(A161,2)+1</f>
        <v>46300</v>
      </c>
      <c r="D161" s="14" t="n">
        <v>522.66</v>
      </c>
      <c r="E161" s="15" t="n">
        <v>11</v>
      </c>
      <c r="F161" s="15" t="n">
        <v>17</v>
      </c>
      <c r="G161" s="16" t="n">
        <f aca="false">IF(E161=0,0,D161/E161)</f>
        <v>47.5145454545455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</cols>
  <sheetData>
    <row r="1" customFormat="false" ht="26.85" hidden="false" customHeight="false" outlineLevel="0" collapsed="false">
      <c r="A1" s="13" t="s">
        <v>42</v>
      </c>
      <c r="B1" s="13" t="s">
        <v>43</v>
      </c>
      <c r="C1" s="13" t="s">
        <v>44</v>
      </c>
      <c r="D1" s="13" t="s">
        <v>45</v>
      </c>
      <c r="E1" s="13" t="s">
        <v>46</v>
      </c>
      <c r="F1" s="13" t="s">
        <v>47</v>
      </c>
      <c r="G1" s="13" t="s">
        <v>48</v>
      </c>
    </row>
    <row r="2" customFormat="false" ht="15" hidden="false" customHeight="false" outlineLevel="0" collapsed="false">
      <c r="A2" s="9" t="n">
        <v>46146</v>
      </c>
      <c r="B2" s="17" t="n">
        <f aca="false">SUMIFS(Daily!$D$2:$D$161,Daily!$C$2:$C$161,A2)</f>
        <v>6717.07</v>
      </c>
      <c r="C2" s="18" t="n">
        <f aca="false">SUMIFS(Daily!$E$2:$E$161,Daily!$C$2:$C$161,A2)</f>
        <v>173</v>
      </c>
      <c r="D2" s="18" t="n">
        <f aca="false">SUMIFS(Daily!$F$2:$F$161,Daily!$C$2:$C$161,A2)</f>
        <v>257</v>
      </c>
      <c r="E2" s="16" t="n">
        <f aca="false">IF(C2=0,0,B2/C2)</f>
        <v>38.8269942196532</v>
      </c>
      <c r="F2" s="16" t="n">
        <f aca="false">IF(D2=0,0,B2/D2)</f>
        <v>26.1364591439689</v>
      </c>
      <c r="G2" s="8"/>
    </row>
    <row r="3" customFormat="false" ht="15" hidden="false" customHeight="false" outlineLevel="0" collapsed="false">
      <c r="A3" s="9" t="n">
        <v>46153</v>
      </c>
      <c r="B3" s="17" t="n">
        <f aca="false">SUMIFS(Daily!$D$2:$D$161,Daily!$C$2:$C$161,A3)</f>
        <v>7000.61</v>
      </c>
      <c r="C3" s="18" t="n">
        <f aca="false">SUMIFS(Daily!$E$2:$E$161,Daily!$C$2:$C$161,A3)</f>
        <v>161</v>
      </c>
      <c r="D3" s="18" t="n">
        <f aca="false">SUMIFS(Daily!$F$2:$F$161,Daily!$C$2:$C$161,A3)</f>
        <v>258</v>
      </c>
      <c r="E3" s="16" t="n">
        <f aca="false">IF(C3=0,0,B3/C3)</f>
        <v>43.482049689441</v>
      </c>
      <c r="F3" s="16" t="n">
        <f aca="false">IF(D3=0,0,B3/D3)</f>
        <v>27.1341472868217</v>
      </c>
      <c r="G3" s="8"/>
    </row>
    <row r="4" customFormat="false" ht="15" hidden="false" customHeight="false" outlineLevel="0" collapsed="false">
      <c r="A4" s="9" t="n">
        <v>46160</v>
      </c>
      <c r="B4" s="17" t="n">
        <f aca="false">SUMIFS(Daily!$D$2:$D$161,Daily!$C$2:$C$161,A4)</f>
        <v>7415.2</v>
      </c>
      <c r="C4" s="18" t="n">
        <f aca="false">SUMIFS(Daily!$E$2:$E$161,Daily!$C$2:$C$161,A4)</f>
        <v>174</v>
      </c>
      <c r="D4" s="18" t="n">
        <f aca="false">SUMIFS(Daily!$F$2:$F$161,Daily!$C$2:$C$161,A4)</f>
        <v>257</v>
      </c>
      <c r="E4" s="16" t="n">
        <f aca="false">IF(C4=0,0,B4/C4)</f>
        <v>42.616091954023</v>
      </c>
      <c r="F4" s="16" t="n">
        <f aca="false">IF(D4=0,0,B4/D4)</f>
        <v>28.8529182879377</v>
      </c>
      <c r="G4" s="8"/>
    </row>
    <row r="5" customFormat="false" ht="15" hidden="false" customHeight="false" outlineLevel="0" collapsed="false">
      <c r="A5" s="9" t="n">
        <v>46167</v>
      </c>
      <c r="B5" s="17" t="n">
        <f aca="false">SUMIFS(Daily!$D$2:$D$161,Daily!$C$2:$C$161,A5)</f>
        <v>7398.62</v>
      </c>
      <c r="C5" s="18" t="n">
        <f aca="false">SUMIFS(Daily!$E$2:$E$161,Daily!$C$2:$C$161,A5)</f>
        <v>176</v>
      </c>
      <c r="D5" s="18" t="n">
        <f aca="false">SUMIFS(Daily!$F$2:$F$161,Daily!$C$2:$C$161,A5)</f>
        <v>281</v>
      </c>
      <c r="E5" s="16" t="n">
        <f aca="false">IF(C5=0,0,B5/C5)</f>
        <v>42.0376136363636</v>
      </c>
      <c r="F5" s="16" t="n">
        <f aca="false">IF(D5=0,0,B5/D5)</f>
        <v>26.3296085409253</v>
      </c>
      <c r="G5" s="17" t="n">
        <f aca="false">AVERAGE(B2:B5)</f>
        <v>7132.875</v>
      </c>
    </row>
    <row r="6" customFormat="false" ht="15" hidden="false" customHeight="false" outlineLevel="0" collapsed="false">
      <c r="A6" s="9" t="n">
        <v>46174</v>
      </c>
      <c r="B6" s="17" t="n">
        <f aca="false">SUMIFS(Daily!$D$2:$D$161,Daily!$C$2:$C$161,A6)</f>
        <v>7112.94</v>
      </c>
      <c r="C6" s="18" t="n">
        <f aca="false">SUMIFS(Daily!$E$2:$E$161,Daily!$C$2:$C$161,A6)</f>
        <v>172</v>
      </c>
      <c r="D6" s="18" t="n">
        <f aca="false">SUMIFS(Daily!$F$2:$F$161,Daily!$C$2:$C$161,A6)</f>
        <v>272</v>
      </c>
      <c r="E6" s="16" t="n">
        <f aca="false">IF(C6=0,0,B6/C6)</f>
        <v>41.3543023255814</v>
      </c>
      <c r="F6" s="16" t="n">
        <f aca="false">IF(D6=0,0,B6/D6)</f>
        <v>26.1505147058824</v>
      </c>
      <c r="G6" s="17" t="n">
        <f aca="false">AVERAGE(B3:B6)</f>
        <v>7231.8425</v>
      </c>
    </row>
    <row r="7" customFormat="false" ht="15" hidden="false" customHeight="false" outlineLevel="0" collapsed="false">
      <c r="A7" s="9" t="n">
        <v>46181</v>
      </c>
      <c r="B7" s="17" t="n">
        <f aca="false">SUMIFS(Daily!$D$2:$D$161,Daily!$C$2:$C$161,A7)</f>
        <v>6560.47</v>
      </c>
      <c r="C7" s="18" t="n">
        <f aca="false">SUMIFS(Daily!$E$2:$E$161,Daily!$C$2:$C$161,A7)</f>
        <v>168</v>
      </c>
      <c r="D7" s="18" t="n">
        <f aca="false">SUMIFS(Daily!$F$2:$F$161,Daily!$C$2:$C$161,A7)</f>
        <v>270</v>
      </c>
      <c r="E7" s="16" t="n">
        <f aca="false">IF(C7=0,0,B7/C7)</f>
        <v>39.0504166666667</v>
      </c>
      <c r="F7" s="16" t="n">
        <f aca="false">IF(D7=0,0,B7/D7)</f>
        <v>24.298037037037</v>
      </c>
      <c r="G7" s="17" t="n">
        <f aca="false">AVERAGE(B4:B7)</f>
        <v>7121.8075</v>
      </c>
    </row>
    <row r="8" customFormat="false" ht="15" hidden="false" customHeight="false" outlineLevel="0" collapsed="false">
      <c r="A8" s="9" t="n">
        <v>46188</v>
      </c>
      <c r="B8" s="17" t="n">
        <f aca="false">SUMIFS(Daily!$D$2:$D$161,Daily!$C$2:$C$161,A8)</f>
        <v>7127.05</v>
      </c>
      <c r="C8" s="18" t="n">
        <f aca="false">SUMIFS(Daily!$E$2:$E$161,Daily!$C$2:$C$161,A8)</f>
        <v>177</v>
      </c>
      <c r="D8" s="18" t="n">
        <f aca="false">SUMIFS(Daily!$F$2:$F$161,Daily!$C$2:$C$161,A8)</f>
        <v>278</v>
      </c>
      <c r="E8" s="16" t="n">
        <f aca="false">IF(C8=0,0,B8/C8)</f>
        <v>40.2658192090396</v>
      </c>
      <c r="F8" s="16" t="n">
        <f aca="false">IF(D8=0,0,B8/D8)</f>
        <v>25.6368705035971</v>
      </c>
      <c r="G8" s="17" t="n">
        <f aca="false">AVERAGE(B5:B8)</f>
        <v>7049.77</v>
      </c>
    </row>
    <row r="9" customFormat="false" ht="15" hidden="false" customHeight="false" outlineLevel="0" collapsed="false">
      <c r="A9" s="9" t="n">
        <v>46195</v>
      </c>
      <c r="B9" s="17" t="n">
        <f aca="false">SUMIFS(Daily!$D$2:$D$161,Daily!$C$2:$C$161,A9)</f>
        <v>6527.98</v>
      </c>
      <c r="C9" s="18" t="n">
        <f aca="false">SUMIFS(Daily!$E$2:$E$161,Daily!$C$2:$C$161,A9)</f>
        <v>172</v>
      </c>
      <c r="D9" s="18" t="n">
        <f aca="false">SUMIFS(Daily!$F$2:$F$161,Daily!$C$2:$C$161,A9)</f>
        <v>278</v>
      </c>
      <c r="E9" s="16" t="n">
        <f aca="false">IF(C9=0,0,B9/C9)</f>
        <v>37.9533720930233</v>
      </c>
      <c r="F9" s="16" t="n">
        <f aca="false">IF(D9=0,0,B9/D9)</f>
        <v>23.4819424460432</v>
      </c>
      <c r="G9" s="17" t="n">
        <f aca="false">AVERAGE(B6:B9)</f>
        <v>6832.11</v>
      </c>
    </row>
    <row r="10" customFormat="false" ht="15" hidden="false" customHeight="false" outlineLevel="0" collapsed="false">
      <c r="A10" s="9" t="n">
        <v>46202</v>
      </c>
      <c r="B10" s="17" t="n">
        <f aca="false">SUMIFS(Daily!$D$2:$D$161,Daily!$C$2:$C$161,A10)</f>
        <v>7424.59</v>
      </c>
      <c r="C10" s="18" t="n">
        <f aca="false">SUMIFS(Daily!$E$2:$E$161,Daily!$C$2:$C$161,A10)</f>
        <v>182</v>
      </c>
      <c r="D10" s="18" t="n">
        <f aca="false">SUMIFS(Daily!$F$2:$F$161,Daily!$C$2:$C$161,A10)</f>
        <v>303</v>
      </c>
      <c r="E10" s="16" t="n">
        <f aca="false">IF(C10=0,0,B10/C10)</f>
        <v>40.7944505494506</v>
      </c>
      <c r="F10" s="16" t="n">
        <f aca="false">IF(D10=0,0,B10/D10)</f>
        <v>24.503597359736</v>
      </c>
      <c r="G10" s="17" t="n">
        <f aca="false">AVERAGE(B7:B10)</f>
        <v>6910.0225</v>
      </c>
    </row>
    <row r="11" customFormat="false" ht="15" hidden="false" customHeight="false" outlineLevel="0" collapsed="false">
      <c r="A11" s="9" t="n">
        <v>46209</v>
      </c>
      <c r="B11" s="17" t="n">
        <f aca="false">SUMIFS(Daily!$D$2:$D$161,Daily!$C$2:$C$161,A11)</f>
        <v>7489.88</v>
      </c>
      <c r="C11" s="18" t="n">
        <f aca="false">SUMIFS(Daily!$E$2:$E$161,Daily!$C$2:$C$161,A11)</f>
        <v>172</v>
      </c>
      <c r="D11" s="18" t="n">
        <f aca="false">SUMIFS(Daily!$F$2:$F$161,Daily!$C$2:$C$161,A11)</f>
        <v>253</v>
      </c>
      <c r="E11" s="16" t="n">
        <f aca="false">IF(C11=0,0,B11/C11)</f>
        <v>43.5458139534884</v>
      </c>
      <c r="F11" s="16" t="n">
        <f aca="false">IF(D11=0,0,B11/D11)</f>
        <v>29.6042687747036</v>
      </c>
      <c r="G11" s="17" t="n">
        <f aca="false">AVERAGE(B8:B11)</f>
        <v>7142.375</v>
      </c>
    </row>
    <row r="12" customFormat="false" ht="15" hidden="false" customHeight="false" outlineLevel="0" collapsed="false">
      <c r="A12" s="9" t="n">
        <v>46216</v>
      </c>
      <c r="B12" s="17" t="n">
        <f aca="false">SUMIFS(Daily!$D$2:$D$161,Daily!$C$2:$C$161,A12)</f>
        <v>6762.14</v>
      </c>
      <c r="C12" s="18" t="n">
        <f aca="false">SUMIFS(Daily!$E$2:$E$161,Daily!$C$2:$C$161,A12)</f>
        <v>172</v>
      </c>
      <c r="D12" s="18" t="n">
        <f aca="false">SUMIFS(Daily!$F$2:$F$161,Daily!$C$2:$C$161,A12)</f>
        <v>269</v>
      </c>
      <c r="E12" s="16" t="n">
        <f aca="false">IF(C12=0,0,B12/C12)</f>
        <v>39.3147674418605</v>
      </c>
      <c r="F12" s="16" t="n">
        <f aca="false">IF(D12=0,0,B12/D12)</f>
        <v>25.1380669144981</v>
      </c>
      <c r="G12" s="17" t="n">
        <f aca="false">AVERAGE(B9:B12)</f>
        <v>7051.1475</v>
      </c>
    </row>
    <row r="13" customFormat="false" ht="15" hidden="false" customHeight="false" outlineLevel="0" collapsed="false">
      <c r="A13" s="9" t="n">
        <v>46223</v>
      </c>
      <c r="B13" s="17" t="n">
        <f aca="false">SUMIFS(Daily!$D$2:$D$161,Daily!$C$2:$C$161,A13)</f>
        <v>6970.71</v>
      </c>
      <c r="C13" s="18" t="n">
        <f aca="false">SUMIFS(Daily!$E$2:$E$161,Daily!$C$2:$C$161,A13)</f>
        <v>174</v>
      </c>
      <c r="D13" s="18" t="n">
        <f aca="false">SUMIFS(Daily!$F$2:$F$161,Daily!$C$2:$C$161,A13)</f>
        <v>270</v>
      </c>
      <c r="E13" s="16" t="n">
        <f aca="false">IF(C13=0,0,B13/C13)</f>
        <v>40.0615517241379</v>
      </c>
      <c r="F13" s="16" t="n">
        <f aca="false">IF(D13=0,0,B13/D13)</f>
        <v>25.8174444444444</v>
      </c>
      <c r="G13" s="17" t="n">
        <f aca="false">AVERAGE(B10:B13)</f>
        <v>7161.83</v>
      </c>
    </row>
    <row r="14" customFormat="false" ht="15" hidden="false" customHeight="false" outlineLevel="0" collapsed="false">
      <c r="A14" s="9" t="n">
        <v>46230</v>
      </c>
      <c r="B14" s="17" t="n">
        <f aca="false">SUMIFS(Daily!$D$2:$D$161,Daily!$C$2:$C$161,A14)</f>
        <v>7098.45</v>
      </c>
      <c r="C14" s="18" t="n">
        <f aca="false">SUMIFS(Daily!$E$2:$E$161,Daily!$C$2:$C$161,A14)</f>
        <v>186</v>
      </c>
      <c r="D14" s="18" t="n">
        <f aca="false">SUMIFS(Daily!$F$2:$F$161,Daily!$C$2:$C$161,A14)</f>
        <v>300</v>
      </c>
      <c r="E14" s="16" t="n">
        <f aca="false">IF(C14=0,0,B14/C14)</f>
        <v>38.1637096774194</v>
      </c>
      <c r="F14" s="16" t="n">
        <f aca="false">IF(D14=0,0,B14/D14)</f>
        <v>23.6615</v>
      </c>
      <c r="G14" s="17" t="n">
        <f aca="false">AVERAGE(B11:B14)</f>
        <v>7080.295</v>
      </c>
    </row>
    <row r="15" customFormat="false" ht="15" hidden="false" customHeight="false" outlineLevel="0" collapsed="false">
      <c r="A15" s="9" t="n">
        <v>46237</v>
      </c>
      <c r="B15" s="17" t="n">
        <f aca="false">SUMIFS(Daily!$D$2:$D$161,Daily!$C$2:$C$161,A15)</f>
        <v>7853.32</v>
      </c>
      <c r="C15" s="18" t="n">
        <f aca="false">SUMIFS(Daily!$E$2:$E$161,Daily!$C$2:$C$161,A15)</f>
        <v>189</v>
      </c>
      <c r="D15" s="18" t="n">
        <f aca="false">SUMIFS(Daily!$F$2:$F$161,Daily!$C$2:$C$161,A15)</f>
        <v>307</v>
      </c>
      <c r="E15" s="16" t="n">
        <f aca="false">IF(C15=0,0,B15/C15)</f>
        <v>41.5519576719577</v>
      </c>
      <c r="F15" s="16" t="n">
        <f aca="false">IF(D15=0,0,B15/D15)</f>
        <v>25.5808469055375</v>
      </c>
      <c r="G15" s="17" t="n">
        <f aca="false">AVERAGE(B12:B15)</f>
        <v>7171.155</v>
      </c>
    </row>
    <row r="16" customFormat="false" ht="15" hidden="false" customHeight="false" outlineLevel="0" collapsed="false">
      <c r="A16" s="9" t="n">
        <v>46244</v>
      </c>
      <c r="B16" s="17" t="n">
        <f aca="false">SUMIFS(Daily!$D$2:$D$161,Daily!$C$2:$C$161,A16)</f>
        <v>7122.53</v>
      </c>
      <c r="C16" s="18" t="n">
        <f aca="false">SUMIFS(Daily!$E$2:$E$161,Daily!$C$2:$C$161,A16)</f>
        <v>173</v>
      </c>
      <c r="D16" s="18" t="n">
        <f aca="false">SUMIFS(Daily!$F$2:$F$161,Daily!$C$2:$C$161,A16)</f>
        <v>271</v>
      </c>
      <c r="E16" s="16" t="n">
        <f aca="false">IF(C16=0,0,B16/C16)</f>
        <v>41.1706936416185</v>
      </c>
      <c r="F16" s="16" t="n">
        <f aca="false">IF(D16=0,0,B16/D16)</f>
        <v>26.2823985239852</v>
      </c>
      <c r="G16" s="17" t="n">
        <f aca="false">AVERAGE(B13:B16)</f>
        <v>7261.2525</v>
      </c>
    </row>
    <row r="17" customFormat="false" ht="15" hidden="false" customHeight="false" outlineLevel="0" collapsed="false">
      <c r="A17" s="9" t="n">
        <v>46251</v>
      </c>
      <c r="B17" s="17" t="n">
        <f aca="false">SUMIFS(Daily!$D$2:$D$161,Daily!$C$2:$C$161,A17)</f>
        <v>7536.05</v>
      </c>
      <c r="C17" s="18" t="n">
        <f aca="false">SUMIFS(Daily!$E$2:$E$161,Daily!$C$2:$C$161,A17)</f>
        <v>188</v>
      </c>
      <c r="D17" s="18" t="n">
        <f aca="false">SUMIFS(Daily!$F$2:$F$161,Daily!$C$2:$C$161,A17)</f>
        <v>302</v>
      </c>
      <c r="E17" s="16" t="n">
        <f aca="false">IF(C17=0,0,B17/C17)</f>
        <v>40.0853723404255</v>
      </c>
      <c r="F17" s="16" t="n">
        <f aca="false">IF(D17=0,0,B17/D17)</f>
        <v>24.9538079470199</v>
      </c>
      <c r="G17" s="17" t="n">
        <f aca="false">AVERAGE(B14:B17)</f>
        <v>7402.5875</v>
      </c>
    </row>
    <row r="18" customFormat="false" ht="15" hidden="false" customHeight="false" outlineLevel="0" collapsed="false">
      <c r="A18" s="9" t="n">
        <v>46258</v>
      </c>
      <c r="B18" s="17" t="n">
        <f aca="false">SUMIFS(Daily!$D$2:$D$161,Daily!$C$2:$C$161,A18)</f>
        <v>7326.29</v>
      </c>
      <c r="C18" s="18" t="n">
        <f aca="false">SUMIFS(Daily!$E$2:$E$161,Daily!$C$2:$C$161,A18)</f>
        <v>177</v>
      </c>
      <c r="D18" s="18" t="n">
        <f aca="false">SUMIFS(Daily!$F$2:$F$161,Daily!$C$2:$C$161,A18)</f>
        <v>284</v>
      </c>
      <c r="E18" s="16" t="n">
        <f aca="false">IF(C18=0,0,B18/C18)</f>
        <v>41.3914689265537</v>
      </c>
      <c r="F18" s="16" t="n">
        <f aca="false">IF(D18=0,0,B18/D18)</f>
        <v>25.7967957746479</v>
      </c>
      <c r="G18" s="17" t="n">
        <f aca="false">AVERAGE(B15:B18)</f>
        <v>7459.5475</v>
      </c>
    </row>
    <row r="19" customFormat="false" ht="15" hidden="false" customHeight="false" outlineLevel="0" collapsed="false">
      <c r="A19" s="9" t="n">
        <v>46265</v>
      </c>
      <c r="B19" s="17" t="n">
        <f aca="false">SUMIFS(Daily!$D$2:$D$161,Daily!$C$2:$C$161,A19)</f>
        <v>6823.82</v>
      </c>
      <c r="C19" s="18" t="n">
        <f aca="false">SUMIFS(Daily!$E$2:$E$161,Daily!$C$2:$C$161,A19)</f>
        <v>166</v>
      </c>
      <c r="D19" s="18" t="n">
        <f aca="false">SUMIFS(Daily!$F$2:$F$161,Daily!$C$2:$C$161,A19)</f>
        <v>256</v>
      </c>
      <c r="E19" s="16" t="n">
        <f aca="false">IF(C19=0,0,B19/C19)</f>
        <v>41.1073493975904</v>
      </c>
      <c r="F19" s="16" t="n">
        <f aca="false">IF(D19=0,0,B19/D19)</f>
        <v>26.655546875</v>
      </c>
      <c r="G19" s="17" t="n">
        <f aca="false">AVERAGE(B16:B19)</f>
        <v>7202.1725</v>
      </c>
    </row>
    <row r="20" customFormat="false" ht="15" hidden="false" customHeight="false" outlineLevel="0" collapsed="false">
      <c r="A20" s="9" t="n">
        <v>46272</v>
      </c>
      <c r="B20" s="17" t="n">
        <f aca="false">SUMIFS(Daily!$D$2:$D$161,Daily!$C$2:$C$161,A20)</f>
        <v>6377.4</v>
      </c>
      <c r="C20" s="18" t="n">
        <f aca="false">SUMIFS(Daily!$E$2:$E$161,Daily!$C$2:$C$161,A20)</f>
        <v>151</v>
      </c>
      <c r="D20" s="18" t="n">
        <f aca="false">SUMIFS(Daily!$F$2:$F$161,Daily!$C$2:$C$161,A20)</f>
        <v>235</v>
      </c>
      <c r="E20" s="16" t="n">
        <f aca="false">IF(C20=0,0,B20/C20)</f>
        <v>42.2344370860927</v>
      </c>
      <c r="F20" s="16" t="n">
        <f aca="false">IF(D20=0,0,B20/D20)</f>
        <v>27.1378723404255</v>
      </c>
      <c r="G20" s="17" t="n">
        <f aca="false">AVERAGE(B17:B20)</f>
        <v>7015.89</v>
      </c>
    </row>
    <row r="21" customFormat="false" ht="15" hidden="false" customHeight="false" outlineLevel="0" collapsed="false">
      <c r="A21" s="9" t="n">
        <v>46279</v>
      </c>
      <c r="B21" s="17" t="n">
        <f aca="false">SUMIFS(Daily!$D$2:$D$161,Daily!$C$2:$C$161,A21)</f>
        <v>6473.09</v>
      </c>
      <c r="C21" s="18" t="n">
        <f aca="false">SUMIFS(Daily!$E$2:$E$161,Daily!$C$2:$C$161,A21)</f>
        <v>170</v>
      </c>
      <c r="D21" s="18" t="n">
        <f aca="false">SUMIFS(Daily!$F$2:$F$161,Daily!$C$2:$C$161,A21)</f>
        <v>278</v>
      </c>
      <c r="E21" s="16" t="n">
        <f aca="false">IF(C21=0,0,B21/C21)</f>
        <v>38.077</v>
      </c>
      <c r="F21" s="16" t="n">
        <f aca="false">IF(D21=0,0,B21/D21)</f>
        <v>23.2844964028777</v>
      </c>
      <c r="G21" s="17" t="n">
        <f aca="false">AVERAGE(B18:B21)</f>
        <v>6750.15</v>
      </c>
    </row>
    <row r="22" customFormat="false" ht="15" hidden="false" customHeight="false" outlineLevel="0" collapsed="false">
      <c r="A22" s="9" t="n">
        <v>46286</v>
      </c>
      <c r="B22" s="17" t="n">
        <f aca="false">SUMIFS(Daily!$D$2:$D$161,Daily!$C$2:$C$161,A22)</f>
        <v>6161.58</v>
      </c>
      <c r="C22" s="18" t="n">
        <f aca="false">SUMIFS(Daily!$E$2:$E$161,Daily!$C$2:$C$161,A22)</f>
        <v>153</v>
      </c>
      <c r="D22" s="18" t="n">
        <f aca="false">SUMIFS(Daily!$F$2:$F$161,Daily!$C$2:$C$161,A22)</f>
        <v>240</v>
      </c>
      <c r="E22" s="16" t="n">
        <f aca="false">IF(C22=0,0,B22/C22)</f>
        <v>40.2717647058824</v>
      </c>
      <c r="F22" s="16" t="n">
        <f aca="false">IF(D22=0,0,B22/D22)</f>
        <v>25.67325</v>
      </c>
      <c r="G22" s="17" t="n">
        <f aca="false">AVERAGE(B19:B22)</f>
        <v>6458.9725</v>
      </c>
    </row>
    <row r="23" customFormat="false" ht="15" hidden="false" customHeight="false" outlineLevel="0" collapsed="false">
      <c r="A23" s="9" t="n">
        <v>46293</v>
      </c>
      <c r="B23" s="17" t="n">
        <f aca="false">SUMIFS(Daily!$D$2:$D$161,Daily!$C$2:$C$161,A23)</f>
        <v>5844.54</v>
      </c>
      <c r="C23" s="18" t="n">
        <f aca="false">SUMIFS(Daily!$E$2:$E$161,Daily!$C$2:$C$161,A23)</f>
        <v>145</v>
      </c>
      <c r="D23" s="18" t="n">
        <f aca="false">SUMIFS(Daily!$F$2:$F$161,Daily!$C$2:$C$161,A23)</f>
        <v>224</v>
      </c>
      <c r="E23" s="16" t="n">
        <f aca="false">IF(C23=0,0,B23/C23)</f>
        <v>40.3071724137931</v>
      </c>
      <c r="F23" s="16" t="n">
        <f aca="false">IF(D23=0,0,B23/D23)</f>
        <v>26.0916964285714</v>
      </c>
      <c r="G23" s="17" t="n">
        <f aca="false">AVERAGE(B20:B23)</f>
        <v>6214.1525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49</v>
      </c>
    </row>
    <row r="3" customFormat="false" ht="15" hidden="false" customHeight="false" outlineLevel="0" collapsed="false">
      <c r="A3" s="13" t="s">
        <v>50</v>
      </c>
      <c r="B3" s="13" t="s">
        <v>51</v>
      </c>
      <c r="C3" s="13" t="s">
        <v>52</v>
      </c>
      <c r="D3" s="13" t="s">
        <v>53</v>
      </c>
      <c r="E3" s="13" t="s">
        <v>54</v>
      </c>
    </row>
    <row r="4" customFormat="false" ht="15" hidden="false" customHeight="false" outlineLevel="0" collapsed="false">
      <c r="A4" s="8" t="s">
        <v>55</v>
      </c>
      <c r="B4" s="17" t="n">
        <f aca="false">AVERAGEIFS(Weekly!$B$2:$B$23,Weekly!$A$2:$A$23,"&gt;="&amp;Assumptions!$B$4,Weekly!$A$2:$A$23,"&lt;="&amp;Assumptions!$B$5)</f>
        <v>7143.75882352941</v>
      </c>
      <c r="C4" s="17" t="n">
        <f aca="false">AVERAGEIFS(Weekly!$B$2:$B$23,Weekly!$A$2:$A$23,"&gt;="&amp;Assumptions!$B$6,Weekly!$A$2:$A$23,"&lt;="&amp;Assumptions!$B$7)</f>
        <v>6214.1525</v>
      </c>
      <c r="D4" s="17" t="n">
        <f aca="false">C4-B4</f>
        <v>-929.606323529411</v>
      </c>
      <c r="E4" s="19" t="n">
        <f aca="false">IF(B4=0,0,D4/B4)</f>
        <v>-0.130128458489887</v>
      </c>
    </row>
    <row r="5" customFormat="false" ht="15" hidden="false" customHeight="false" outlineLevel="0" collapsed="false">
      <c r="A5" s="8" t="s">
        <v>56</v>
      </c>
      <c r="B5" s="20" t="n">
        <f aca="false">AVERAGEIFS(Weekly!$C$2:$C$23,Weekly!$A$2:$A$23,"&gt;="&amp;Assumptions!$B$4,Weekly!$A$2:$A$23,"&lt;="&amp;Assumptions!$B$5)</f>
        <v>175.647058823529</v>
      </c>
      <c r="C5" s="20" t="n">
        <f aca="false">AVERAGEIFS(Weekly!$C$2:$C$23,Weekly!$A$2:$A$23,"&gt;="&amp;Assumptions!$B$6,Weekly!$A$2:$A$23,"&lt;="&amp;Assumptions!$B$7)</f>
        <v>154.75</v>
      </c>
      <c r="D5" s="20" t="n">
        <f aca="false">C5-B5</f>
        <v>-20.8970588235294</v>
      </c>
      <c r="E5" s="19" t="n">
        <f aca="false">IF(B5=0,0,D5/B5)</f>
        <v>-0.118971868720697</v>
      </c>
    </row>
    <row r="6" customFormat="false" ht="15" hidden="false" customHeight="false" outlineLevel="0" collapsed="false">
      <c r="A6" s="8" t="s">
        <v>57</v>
      </c>
      <c r="B6" s="20" t="n">
        <f aca="false">AVERAGEIFS(Weekly!$D$2:$D$23,Weekly!$A$2:$A$23,"&gt;="&amp;Assumptions!$B$4,Weekly!$A$2:$A$23,"&lt;="&amp;Assumptions!$B$5)</f>
        <v>277.058823529412</v>
      </c>
      <c r="C6" s="20" t="n">
        <f aca="false">AVERAGEIFS(Weekly!$D$2:$D$23,Weekly!$A$2:$A$23,"&gt;="&amp;Assumptions!$B$6,Weekly!$A$2:$A$23,"&lt;="&amp;Assumptions!$B$7)</f>
        <v>244.25</v>
      </c>
      <c r="D6" s="20" t="n">
        <f aca="false">C6-B6</f>
        <v>-32.8088235294118</v>
      </c>
      <c r="E6" s="19" t="n">
        <f aca="false">IF(B6=0,0,D6/B6)</f>
        <v>-0.118418259023355</v>
      </c>
    </row>
    <row r="7" customFormat="false" ht="15" hidden="false" customHeight="false" outlineLevel="0" collapsed="false">
      <c r="A7" s="8" t="s">
        <v>58</v>
      </c>
      <c r="B7" s="16" t="n">
        <f aca="false">B4/B5</f>
        <v>40.6710984594776</v>
      </c>
      <c r="C7" s="16" t="n">
        <f aca="false">C4/C5</f>
        <v>40.1560743134087</v>
      </c>
      <c r="D7" s="16" t="n">
        <f aca="false">C7-B7</f>
        <v>-0.515024146068832</v>
      </c>
      <c r="E7" s="19" t="n">
        <f aca="false">IF(B7=0,0,D7/B7)</f>
        <v>-0.0126631481709788</v>
      </c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2" t="s">
        <v>59</v>
      </c>
      <c r="B9" s="8"/>
      <c r="C9" s="8"/>
      <c r="D9" s="8"/>
      <c r="E9" s="8"/>
    </row>
    <row r="10" customFormat="false" ht="15" hidden="false" customHeight="false" outlineLevel="0" collapsed="false">
      <c r="A10" s="8" t="s">
        <v>60</v>
      </c>
      <c r="B10" s="17" t="n">
        <f aca="false">(C5-B5)*B7</f>
        <v>-849.906336925259</v>
      </c>
      <c r="C10" s="8"/>
      <c r="D10" s="8"/>
      <c r="E10" s="8"/>
    </row>
    <row r="11" customFormat="false" ht="15" hidden="false" customHeight="false" outlineLevel="0" collapsed="false">
      <c r="A11" s="8" t="s">
        <v>61</v>
      </c>
      <c r="B11" s="17" t="n">
        <f aca="false">C5*(C7-B7)</f>
        <v>-79.6999866041518</v>
      </c>
      <c r="C11" s="8"/>
      <c r="D11" s="8"/>
      <c r="E11" s="8"/>
    </row>
    <row r="12" customFormat="false" ht="15" hidden="false" customHeight="false" outlineLevel="0" collapsed="false">
      <c r="A12" s="2" t="s">
        <v>62</v>
      </c>
      <c r="B12" s="21" t="n">
        <f aca="false">B10+B11</f>
        <v>-929.606323529411</v>
      </c>
      <c r="C12" s="8"/>
      <c r="D12" s="8"/>
      <c r="E12" s="8"/>
    </row>
    <row r="13" customFormat="false" ht="15" hidden="false" customHeight="false" outlineLevel="0" collapsed="false">
      <c r="A13" s="8" t="s">
        <v>63</v>
      </c>
      <c r="B13" s="8" t="str">
        <f aca="false">IF(ABS(B12-D4)&lt;0.01,"OK","MISMATCH")</f>
        <v>OK</v>
      </c>
      <c r="C13" s="8"/>
      <c r="D13" s="8"/>
      <c r="E13" s="8"/>
    </row>
    <row r="14" customFormat="false" ht="15" hidden="false" customHeight="false" outlineLevel="0" collapsed="false">
      <c r="A14" s="8" t="s">
        <v>64</v>
      </c>
      <c r="B14" s="22" t="n">
        <f aca="false">IF(B12=0,0,B10/B12)</f>
        <v>0.914264797272939</v>
      </c>
      <c r="C14" s="8"/>
      <c r="D14" s="8"/>
      <c r="E14" s="8"/>
    </row>
    <row r="17" customFormat="false" ht="15" hidden="false" customHeight="false" outlineLevel="0" collapsed="false">
      <c r="A17" s="2" t="s">
        <v>65</v>
      </c>
    </row>
    <row r="18" customFormat="false" ht="15" hidden="false" customHeight="false" outlineLevel="0" collapsed="false">
      <c r="A18" s="13" t="s">
        <v>66</v>
      </c>
      <c r="B18" s="13" t="s">
        <v>67</v>
      </c>
      <c r="C18" s="13" t="s">
        <v>68</v>
      </c>
      <c r="D18" s="13" t="s">
        <v>69</v>
      </c>
      <c r="E18" s="13" t="s">
        <v>54</v>
      </c>
    </row>
    <row r="19" customFormat="false" ht="15" hidden="false" customHeight="false" outlineLevel="0" collapsed="false">
      <c r="A19" s="8" t="s">
        <v>70</v>
      </c>
      <c r="B19" s="17" t="n">
        <f aca="false">AVERAGEIFS(Daily!$D$2:$D$161,Daily!$B$2:$B$161,A19,Daily!$A$2:$A$161,"&gt;="&amp;Assumptions!$B$4,Daily!$A$2:$A$161,"&lt;="&amp;Assumptions!$B$8)</f>
        <v>790.998235294118</v>
      </c>
      <c r="C19" s="17" t="n">
        <f aca="false">AVERAGEIFS(Daily!$D$2:$D$161,Daily!$B$2:$B$161,A19,Daily!$A$2:$A$161,"&gt;="&amp;Assumptions!$B$6,Daily!$A$2:$A$161,"&lt;="&amp;Assumptions!$B$9)</f>
        <v>721.1825</v>
      </c>
      <c r="D19" s="17" t="n">
        <f aca="false">C19-B19</f>
        <v>-69.8157352941176</v>
      </c>
      <c r="E19" s="19" t="n">
        <f aca="false">IF(B19=0,0,D19/B19)</f>
        <v>-0.08826282054619</v>
      </c>
    </row>
    <row r="20" customFormat="false" ht="15" hidden="false" customHeight="false" outlineLevel="0" collapsed="false">
      <c r="A20" s="8" t="s">
        <v>71</v>
      </c>
      <c r="B20" s="17" t="n">
        <f aca="false">AVERAGEIFS(Daily!$D$2:$D$161,Daily!$B$2:$B$161,A20,Daily!$A$2:$A$161,"&gt;="&amp;Assumptions!$B$4,Daily!$A$2:$A$161,"&lt;="&amp;Assumptions!$B$8)</f>
        <v>726.467647058824</v>
      </c>
      <c r="C20" s="17" t="n">
        <f aca="false">AVERAGEIFS(Daily!$D$2:$D$161,Daily!$B$2:$B$161,A20,Daily!$A$2:$A$161,"&gt;="&amp;Assumptions!$B$6,Daily!$A$2:$A$161,"&lt;="&amp;Assumptions!$B$9)</f>
        <v>553.7225</v>
      </c>
      <c r="D20" s="17" t="n">
        <f aca="false">C20-B20</f>
        <v>-172.745147058824</v>
      </c>
      <c r="E20" s="19" t="n">
        <f aca="false">IF(B20=0,0,D20/B20)</f>
        <v>-0.237787804808926</v>
      </c>
    </row>
    <row r="21" customFormat="false" ht="15" hidden="false" customHeight="false" outlineLevel="0" collapsed="false">
      <c r="A21" s="8" t="s">
        <v>72</v>
      </c>
      <c r="B21" s="17" t="n">
        <f aca="false">AVERAGEIFS(Daily!$D$2:$D$161,Daily!$B$2:$B$161,A21,Daily!$A$2:$A$161,"&gt;="&amp;Assumptions!$B$4,Daily!$A$2:$A$161,"&lt;="&amp;Assumptions!$B$8)</f>
        <v>793.936470588235</v>
      </c>
      <c r="C21" s="17" t="n">
        <f aca="false">AVERAGEIFS(Daily!$D$2:$D$161,Daily!$B$2:$B$161,A21,Daily!$A$2:$A$161,"&gt;="&amp;Assumptions!$B$6,Daily!$A$2:$A$161,"&lt;="&amp;Assumptions!$B$9)</f>
        <v>612.3575</v>
      </c>
      <c r="D21" s="17" t="n">
        <f aca="false">C21-B21</f>
        <v>-181.578970588235</v>
      </c>
      <c r="E21" s="19" t="n">
        <f aca="false">IF(B21=0,0,D21/B21)</f>
        <v>-0.228707179119384</v>
      </c>
    </row>
    <row r="22" customFormat="false" ht="15" hidden="false" customHeight="false" outlineLevel="0" collapsed="false">
      <c r="A22" s="8" t="s">
        <v>73</v>
      </c>
      <c r="B22" s="17" t="n">
        <f aca="false">AVERAGEIFS(Daily!$D$2:$D$161,Daily!$B$2:$B$161,A22,Daily!$A$2:$A$161,"&gt;="&amp;Assumptions!$B$4,Daily!$A$2:$A$161,"&lt;="&amp;Assumptions!$B$8)</f>
        <v>807.852941176471</v>
      </c>
      <c r="C22" s="17" t="n">
        <f aca="false">AVERAGEIFS(Daily!$D$2:$D$161,Daily!$B$2:$B$161,A22,Daily!$A$2:$A$161,"&gt;="&amp;Assumptions!$B$6,Daily!$A$2:$A$161,"&lt;="&amp;Assumptions!$B$9)</f>
        <v>672.0925</v>
      </c>
      <c r="D22" s="17" t="n">
        <f aca="false">C22-B22</f>
        <v>-135.760441176471</v>
      </c>
      <c r="E22" s="19" t="n">
        <f aca="false">IF(B22=0,0,D22/B22)</f>
        <v>-0.16805093384789</v>
      </c>
    </row>
    <row r="23" customFormat="false" ht="15" hidden="false" customHeight="false" outlineLevel="0" collapsed="false">
      <c r="A23" s="8" t="s">
        <v>74</v>
      </c>
      <c r="B23" s="17" t="n">
        <f aca="false">AVERAGEIFS(Daily!$D$2:$D$161,Daily!$B$2:$B$161,A23,Daily!$A$2:$A$161,"&gt;="&amp;Assumptions!$B$4,Daily!$A$2:$A$161,"&lt;="&amp;Assumptions!$B$8)</f>
        <v>1291.16647058824</v>
      </c>
      <c r="C23" s="17" t="n">
        <f aca="false">AVERAGEIFS(Daily!$D$2:$D$161,Daily!$B$2:$B$161,A23,Daily!$A$2:$A$161,"&gt;="&amp;Assumptions!$B$6,Daily!$A$2:$A$161,"&lt;="&amp;Assumptions!$B$9)</f>
        <v>1207.345</v>
      </c>
      <c r="D23" s="17" t="n">
        <f aca="false">C23-B23</f>
        <v>-83.8214705882353</v>
      </c>
      <c r="E23" s="19" t="n">
        <f aca="false">IF(B23=0,0,D23/B23)</f>
        <v>-0.0649191816064179</v>
      </c>
    </row>
    <row r="24" customFormat="false" ht="15" hidden="false" customHeight="false" outlineLevel="0" collapsed="false">
      <c r="A24" s="8" t="s">
        <v>75</v>
      </c>
      <c r="B24" s="17" t="n">
        <f aca="false">AVERAGEIFS(Daily!$D$2:$D$161,Daily!$B$2:$B$161,A24,Daily!$A$2:$A$161,"&gt;="&amp;Assumptions!$B$4,Daily!$A$2:$A$161,"&lt;="&amp;Assumptions!$B$8)</f>
        <v>1506.66176470588</v>
      </c>
      <c r="C24" s="17" t="n">
        <f aca="false">AVERAGEIFS(Daily!$D$2:$D$161,Daily!$B$2:$B$161,A24,Daily!$A$2:$A$161,"&gt;="&amp;Assumptions!$B$6,Daily!$A$2:$A$161,"&lt;="&amp;Assumptions!$B$9)</f>
        <v>1476.2825</v>
      </c>
      <c r="D24" s="17" t="n">
        <f aca="false">C24-B24</f>
        <v>-30.3792647058824</v>
      </c>
      <c r="E24" s="19" t="n">
        <f aca="false">IF(B24=0,0,D24/B24)</f>
        <v>-0.0201632943886465</v>
      </c>
    </row>
    <row r="25" customFormat="false" ht="15" hidden="false" customHeight="false" outlineLevel="0" collapsed="false">
      <c r="A25" s="8" t="s">
        <v>76</v>
      </c>
      <c r="B25" s="17" t="n">
        <f aca="false">AVERAGEIFS(Daily!$D$2:$D$161,Daily!$B$2:$B$161,A25,Daily!$A$2:$A$161,"&gt;="&amp;Assumptions!$B$4,Daily!$A$2:$A$161,"&lt;="&amp;Assumptions!$B$8)</f>
        <v>1226.67529411765</v>
      </c>
      <c r="C25" s="17" t="n">
        <f aca="false">AVERAGEIFS(Daily!$D$2:$D$161,Daily!$B$2:$B$161,A25,Daily!$A$2:$A$161,"&gt;="&amp;Assumptions!$B$6,Daily!$A$2:$A$161,"&lt;="&amp;Assumptions!$B$9)</f>
        <v>971.17</v>
      </c>
      <c r="D25" s="17" t="n">
        <f aca="false">C25-B25</f>
        <v>-255.505294117647</v>
      </c>
      <c r="E25" s="19" t="n">
        <f aca="false">IF(B25=0,0,D25/B25)</f>
        <v>-0.208290894373505</v>
      </c>
    </row>
    <row r="26" customFormat="false" ht="15" hidden="false" customHeight="false" outlineLevel="0" collapsed="false">
      <c r="A26" s="2" t="s">
        <v>77</v>
      </c>
      <c r="B26" s="21" t="n">
        <f aca="false">SUM(B19:B25)</f>
        <v>7143.75882352941</v>
      </c>
      <c r="C26" s="21" t="n">
        <f aca="false">SUM(C19:C25)</f>
        <v>6214.1525</v>
      </c>
      <c r="D26" s="21" t="n">
        <f aca="false">SUM(D19:D25)</f>
        <v>-929.606323529412</v>
      </c>
      <c r="E26" s="23" t="n">
        <f aca="false">IF(B26=0,0,D26/B26)</f>
        <v>-0.130128458489887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78</v>
      </c>
    </row>
    <row r="3" customFormat="false" ht="15" hidden="false" customHeight="false" outlineLevel="0" collapsed="false">
      <c r="A3" s="8" t="s">
        <v>79</v>
      </c>
      <c r="B3" s="17" t="n">
        <f aca="false">-SUMIF(Decomposition!D19:D25,"&lt;0")</f>
        <v>929.606323529412</v>
      </c>
      <c r="C3" s="8"/>
    </row>
    <row r="4" customFormat="false" ht="15" hidden="false" customHeight="false" outlineLevel="0" collapsed="false">
      <c r="A4" s="8" t="s">
        <v>80</v>
      </c>
      <c r="B4" s="24" t="n">
        <f aca="false">Assumptions!B18</f>
        <v>0.25</v>
      </c>
      <c r="C4" s="8"/>
    </row>
    <row r="5" customFormat="false" ht="15" hidden="false" customHeight="false" outlineLevel="0" collapsed="false">
      <c r="A5" s="8" t="s">
        <v>81</v>
      </c>
      <c r="B5" s="17" t="n">
        <f aca="false">B3*B4</f>
        <v>232.401580882353</v>
      </c>
      <c r="C5" s="8"/>
    </row>
    <row r="6" customFormat="false" ht="15" hidden="false" customHeight="false" outlineLevel="0" collapsed="false">
      <c r="A6" s="8" t="s">
        <v>82</v>
      </c>
      <c r="B6" s="17" t="n">
        <f aca="false">B5*(1-Assumptions!B12)</f>
        <v>162.681106617647</v>
      </c>
      <c r="C6" s="8" t="s">
        <v>83</v>
      </c>
    </row>
    <row r="7" customFormat="false" ht="15" hidden="false" customHeight="false" outlineLevel="0" collapsed="false">
      <c r="A7" s="8" t="s">
        <v>84</v>
      </c>
      <c r="B7" s="17" t="n">
        <f aca="false">B6*13</f>
        <v>2114.85438602941</v>
      </c>
      <c r="C7" s="8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7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9" min="7" style="0" width="14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2" min="12" style="0" width="10"/>
  </cols>
  <sheetData>
    <row r="1" customFormat="false" ht="17.35" hidden="false" customHeight="false" outlineLevel="0" collapsed="false">
      <c r="A1" s="25" t="s">
        <v>86</v>
      </c>
    </row>
    <row r="3" customFormat="false" ht="26.85" hidden="false" customHeight="false" outlineLevel="0" collapsed="false">
      <c r="A3" s="13" t="s">
        <v>87</v>
      </c>
      <c r="B3" s="13" t="s">
        <v>88</v>
      </c>
      <c r="C3" s="13" t="s">
        <v>89</v>
      </c>
      <c r="D3" s="13" t="s">
        <v>90</v>
      </c>
      <c r="E3" s="13" t="s">
        <v>43</v>
      </c>
      <c r="F3" s="13" t="s">
        <v>91</v>
      </c>
      <c r="G3" s="13" t="s">
        <v>92</v>
      </c>
      <c r="H3" s="13" t="s">
        <v>93</v>
      </c>
      <c r="I3" s="13" t="s">
        <v>94</v>
      </c>
      <c r="J3" s="13" t="s">
        <v>95</v>
      </c>
      <c r="K3" s="13" t="s">
        <v>96</v>
      </c>
      <c r="L3" s="13" t="s">
        <v>97</v>
      </c>
    </row>
    <row r="4" customFormat="false" ht="15" hidden="false" customHeight="false" outlineLevel="0" collapsed="false">
      <c r="A4" s="8" t="s">
        <v>98</v>
      </c>
      <c r="B4" s="9" t="n">
        <v>46143</v>
      </c>
      <c r="C4" s="9" t="n">
        <v>46173</v>
      </c>
      <c r="D4" s="8" t="n">
        <f aca="false">C4-B4+1</f>
        <v>31</v>
      </c>
      <c r="E4" s="17" t="n">
        <f aca="false">SUMIFS(Daily!$D$2:$D$161,Daily!$A$2:$A$161,"&gt;="&amp;B4,Daily!$A$2:$A$161,"&lt;="&amp;C4)</f>
        <v>32629.62</v>
      </c>
      <c r="F4" s="17" t="n">
        <f aca="false">E4/D4</f>
        <v>1052.56838709677</v>
      </c>
      <c r="G4" s="17" t="n">
        <f aca="false">E4*Assumptions!$B$12</f>
        <v>9788.886</v>
      </c>
      <c r="H4" s="17" t="n">
        <f aca="false">E4*Assumptions!$B$13</f>
        <v>9788.886</v>
      </c>
      <c r="I4" s="17" t="n">
        <f aca="false">E4*Assumptions!$B$14</f>
        <v>3262.962</v>
      </c>
      <c r="J4" s="17" t="n">
        <f aca="false">Assumptions!$B$15*D4/DAY(EOMONTH(B4,0))</f>
        <v>8000</v>
      </c>
      <c r="K4" s="17" t="n">
        <f aca="false">E4-G4-H4-I4-J4</f>
        <v>1788.886</v>
      </c>
      <c r="L4" s="19" t="n">
        <f aca="false">IF(E4=0,0,K4/E4)</f>
        <v>0.0548239912079884</v>
      </c>
    </row>
    <row r="5" customFormat="false" ht="15" hidden="false" customHeight="false" outlineLevel="0" collapsed="false">
      <c r="A5" s="8" t="s">
        <v>99</v>
      </c>
      <c r="B5" s="9" t="n">
        <v>46174</v>
      </c>
      <c r="C5" s="9" t="n">
        <v>46203</v>
      </c>
      <c r="D5" s="8" t="n">
        <f aca="false">C5-B5+1</f>
        <v>30</v>
      </c>
      <c r="E5" s="17" t="n">
        <f aca="false">SUMIFS(Daily!$D$2:$D$161,Daily!$A$2:$A$161,"&gt;="&amp;B5,Daily!$A$2:$A$161,"&lt;="&amp;C5)</f>
        <v>28793.62</v>
      </c>
      <c r="F5" s="17" t="n">
        <f aca="false">E5/D5</f>
        <v>959.787333333333</v>
      </c>
      <c r="G5" s="17" t="n">
        <f aca="false">E5*Assumptions!$B$12</f>
        <v>8638.086</v>
      </c>
      <c r="H5" s="17" t="n">
        <f aca="false">E5*Assumptions!$B$13</f>
        <v>8638.086</v>
      </c>
      <c r="I5" s="17" t="n">
        <f aca="false">E5*Assumptions!$B$14</f>
        <v>2879.362</v>
      </c>
      <c r="J5" s="17" t="n">
        <f aca="false">Assumptions!$B$15*D5/DAY(EOMONTH(B5,0))</f>
        <v>8000</v>
      </c>
      <c r="K5" s="17" t="n">
        <f aca="false">E5-G5-H5-I5-J5</f>
        <v>638.085999999999</v>
      </c>
      <c r="L5" s="19" t="n">
        <f aca="false">IF(E5=0,0,K5/E5)</f>
        <v>0.0221606730935533</v>
      </c>
    </row>
    <row r="6" customFormat="false" ht="15" hidden="false" customHeight="false" outlineLevel="0" collapsed="false">
      <c r="A6" s="8" t="s">
        <v>100</v>
      </c>
      <c r="B6" s="9" t="n">
        <v>46204</v>
      </c>
      <c r="C6" s="9" t="n">
        <v>46234</v>
      </c>
      <c r="D6" s="8" t="n">
        <f aca="false">C6-B6+1</f>
        <v>31</v>
      </c>
      <c r="E6" s="17" t="n">
        <f aca="false">SUMIFS(Daily!$D$2:$D$161,Daily!$A$2:$A$161,"&gt;="&amp;B6,Daily!$A$2:$A$161,"&lt;="&amp;C6)</f>
        <v>31872.74</v>
      </c>
      <c r="F6" s="17" t="n">
        <f aca="false">E6/D6</f>
        <v>1028.15290322581</v>
      </c>
      <c r="G6" s="17" t="n">
        <f aca="false">E6*Assumptions!$B$12</f>
        <v>9561.822</v>
      </c>
      <c r="H6" s="17" t="n">
        <f aca="false">E6*Assumptions!$B$13</f>
        <v>9561.822</v>
      </c>
      <c r="I6" s="17" t="n">
        <f aca="false">E6*Assumptions!$B$14</f>
        <v>3187.274</v>
      </c>
      <c r="J6" s="17" t="n">
        <f aca="false">Assumptions!$B$15*D6/DAY(EOMONTH(B6,0))</f>
        <v>8000</v>
      </c>
      <c r="K6" s="17" t="n">
        <f aca="false">E6-G6-H6-I6-J6</f>
        <v>1561.822</v>
      </c>
      <c r="L6" s="19" t="n">
        <f aca="false">IF(E6=0,0,K6/E6)</f>
        <v>0.0490018115794249</v>
      </c>
    </row>
    <row r="7" customFormat="false" ht="15" hidden="false" customHeight="false" outlineLevel="0" collapsed="false">
      <c r="A7" s="8" t="s">
        <v>101</v>
      </c>
      <c r="B7" s="9" t="n">
        <v>46235</v>
      </c>
      <c r="C7" s="9" t="n">
        <v>46265</v>
      </c>
      <c r="D7" s="8" t="n">
        <f aca="false">C7-B7+1</f>
        <v>31</v>
      </c>
      <c r="E7" s="17" t="n">
        <f aca="false">SUMIFS(Daily!$D$2:$D$161,Daily!$A$2:$A$161,"&gt;="&amp;B7,Daily!$A$2:$A$161,"&lt;="&amp;C7)</f>
        <v>32787.07</v>
      </c>
      <c r="F7" s="17" t="n">
        <f aca="false">E7/D7</f>
        <v>1057.64741935484</v>
      </c>
      <c r="G7" s="17" t="n">
        <f aca="false">E7*Assumptions!$B$12</f>
        <v>9836.121</v>
      </c>
      <c r="H7" s="17" t="n">
        <f aca="false">E7*Assumptions!$B$13</f>
        <v>9836.121</v>
      </c>
      <c r="I7" s="17" t="n">
        <f aca="false">E7*Assumptions!$B$14</f>
        <v>3278.707</v>
      </c>
      <c r="J7" s="17" t="n">
        <f aca="false">Assumptions!$B$15*D7/DAY(EOMONTH(B7,0))</f>
        <v>8000</v>
      </c>
      <c r="K7" s="17" t="n">
        <f aca="false">E7-G7-H7-I7-J7</f>
        <v>1836.121</v>
      </c>
      <c r="L7" s="19" t="n">
        <f aca="false">IF(E7=0,0,K7/E7)</f>
        <v>0.0560013749322523</v>
      </c>
    </row>
    <row r="8" customFormat="false" ht="15" hidden="false" customHeight="false" outlineLevel="0" collapsed="false">
      <c r="A8" s="8" t="s">
        <v>102</v>
      </c>
      <c r="B8" s="9" t="n">
        <v>46266</v>
      </c>
      <c r="C8" s="9" t="n">
        <v>46295</v>
      </c>
      <c r="D8" s="8" t="n">
        <f aca="false">C8-B8+1</f>
        <v>30</v>
      </c>
      <c r="E8" s="17" t="n">
        <f aca="false">SUMIFS(Daily!$D$2:$D$161,Daily!$A$2:$A$161,"&gt;="&amp;B8,Daily!$A$2:$A$161,"&lt;="&amp;C8)</f>
        <v>27274.49</v>
      </c>
      <c r="F8" s="17" t="n">
        <f aca="false">E8/D8</f>
        <v>909.149666666667</v>
      </c>
      <c r="G8" s="17" t="n">
        <f aca="false">E8*Assumptions!$B$12</f>
        <v>8182.347</v>
      </c>
      <c r="H8" s="17" t="n">
        <f aca="false">E8*Assumptions!$B$13</f>
        <v>8182.347</v>
      </c>
      <c r="I8" s="17" t="n">
        <f aca="false">E8*Assumptions!$B$14</f>
        <v>2727.449</v>
      </c>
      <c r="J8" s="17" t="n">
        <f aca="false">Assumptions!$B$15*D8/DAY(EOMONTH(B8,0))</f>
        <v>8000</v>
      </c>
      <c r="K8" s="17" t="n">
        <f aca="false">E8-G8-H8-I8-J8</f>
        <v>182.347000000002</v>
      </c>
      <c r="L8" s="19" t="n">
        <f aca="false">IF(E8=0,0,K8/E8)</f>
        <v>0.00668562455246648</v>
      </c>
    </row>
    <row r="9" customFormat="false" ht="15" hidden="false" customHeight="false" outlineLevel="0" collapsed="false">
      <c r="A9" s="8" t="s">
        <v>103</v>
      </c>
      <c r="B9" s="9" t="n">
        <v>46296</v>
      </c>
      <c r="C9" s="9" t="n">
        <v>46302</v>
      </c>
      <c r="D9" s="8" t="n">
        <f aca="false">C9-B9+1</f>
        <v>7</v>
      </c>
      <c r="E9" s="17" t="n">
        <f aca="false">SUMIFS(Daily!$D$2:$D$161,Daily!$A$2:$A$161,"&gt;="&amp;B9,Daily!$A$2:$A$161,"&lt;="&amp;C9)</f>
        <v>5677.84</v>
      </c>
      <c r="F9" s="17" t="n">
        <f aca="false">E9/D9</f>
        <v>811.12</v>
      </c>
      <c r="G9" s="17" t="n">
        <f aca="false">E9*Assumptions!$B$12</f>
        <v>1703.352</v>
      </c>
      <c r="H9" s="17" t="n">
        <f aca="false">E9*Assumptions!$B$13</f>
        <v>1703.352</v>
      </c>
      <c r="I9" s="17" t="n">
        <f aca="false">E9*Assumptions!$B$14</f>
        <v>567.784</v>
      </c>
      <c r="J9" s="17" t="n">
        <f aca="false">Assumptions!$B$15*D9/DAY(EOMONTH(B9,0))</f>
        <v>1806.45161290323</v>
      </c>
      <c r="K9" s="17" t="n">
        <f aca="false">E9-G9-H9-I9-J9</f>
        <v>-103.099612903226</v>
      </c>
      <c r="L9" s="19" t="n">
        <f aca="false">IF(E9=0,0,K9/E9)</f>
        <v>-0.0181582455481707</v>
      </c>
    </row>
    <row r="11" customFormat="false" ht="15" hidden="false" customHeight="false" outlineLevel="0" collapsed="false">
      <c r="A11" s="2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2026-10-28T02:37:34Z</dcterms:created>
  <dc:creator>openpyxl</dc:creator>
  <dc:description/>
  <dc:language>en-US</dc:language>
  <cp:lastModifiedBy/>
  <dcterms:modified xsi:type="dcterms:W3CDTF">2026-10-28T02:37:34Z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